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/Downloads/"/>
    </mc:Choice>
  </mc:AlternateContent>
  <xr:revisionPtr revIDLastSave="0" documentId="8_{A762E28F-7BB3-3E4E-A67A-A73555176743}" xr6:coauthVersionLast="47" xr6:coauthVersionMax="47" xr10:uidLastSave="{00000000-0000-0000-0000-000000000000}"/>
  <bookViews>
    <workbookView xWindow="-20" yWindow="940" windowWidth="28800" windowHeight="16220" xr2:uid="{ED4B9300-A35C-2342-9299-6E43CDBF1FB9}"/>
  </bookViews>
  <sheets>
    <sheet name="Table" sheetId="1" r:id="rId1"/>
    <sheet name="Documentation" sheetId="5" r:id="rId2"/>
    <sheet name="Q1" sheetId="2" r:id="rId3"/>
    <sheet name="Q2" sheetId="8" r:id="rId4"/>
    <sheet name="Q3" sheetId="7" r:id="rId5"/>
    <sheet name="Q4" sheetId="6" r:id="rId6"/>
    <sheet name="Scenario look up" sheetId="9" r:id="rId7"/>
    <sheet name="Scenario Summary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9" l="1"/>
  <c r="D10" i="9"/>
  <c r="D9" i="9"/>
  <c r="D8" i="9"/>
  <c r="D7" i="9"/>
  <c r="D6" i="9"/>
  <c r="D5" i="9"/>
  <c r="P4" i="9"/>
  <c r="D4" i="9"/>
  <c r="P3" i="9"/>
  <c r="S3" i="9" s="1"/>
  <c r="D3" i="9"/>
  <c r="S2" i="9"/>
  <c r="D2" i="9"/>
  <c r="D11" i="8"/>
  <c r="D10" i="8"/>
  <c r="D9" i="8"/>
  <c r="D8" i="8"/>
  <c r="D7" i="8"/>
  <c r="D6" i="8"/>
  <c r="D5" i="8"/>
  <c r="P4" i="8"/>
  <c r="D4" i="8"/>
  <c r="S3" i="8"/>
  <c r="P3" i="8"/>
  <c r="D3" i="8"/>
  <c r="S2" i="8"/>
  <c r="D2" i="8"/>
  <c r="D11" i="7"/>
  <c r="D10" i="7"/>
  <c r="D9" i="7"/>
  <c r="D8" i="7"/>
  <c r="D7" i="7"/>
  <c r="D6" i="7"/>
  <c r="D5" i="7"/>
  <c r="P4" i="7"/>
  <c r="D4" i="7"/>
  <c r="S3" i="7"/>
  <c r="P3" i="7"/>
  <c r="D3" i="7"/>
  <c r="S2" i="7"/>
  <c r="D2" i="7"/>
  <c r="D11" i="6"/>
  <c r="D10" i="6"/>
  <c r="D9" i="6"/>
  <c r="D8" i="6"/>
  <c r="D7" i="6"/>
  <c r="D6" i="6"/>
  <c r="D5" i="6"/>
  <c r="P4" i="6"/>
  <c r="D4" i="6"/>
  <c r="S3" i="6"/>
  <c r="P3" i="6"/>
  <c r="D3" i="6"/>
  <c r="S2" i="6"/>
  <c r="D2" i="6"/>
  <c r="S5" i="2"/>
  <c r="S3" i="2"/>
  <c r="S2" i="2"/>
  <c r="D3" i="2"/>
  <c r="D4" i="2"/>
  <c r="D5" i="2"/>
  <c r="D6" i="2"/>
  <c r="D7" i="2"/>
  <c r="D8" i="2"/>
  <c r="D9" i="2"/>
  <c r="D10" i="2"/>
  <c r="D11" i="2"/>
  <c r="D2" i="2"/>
  <c r="P3" i="2"/>
  <c r="P4" i="2"/>
  <c r="Q7" i="9" l="1"/>
  <c r="Q8" i="9" s="1"/>
  <c r="Q9" i="9" s="1"/>
  <c r="S5" i="9"/>
  <c r="Q7" i="8"/>
  <c r="Q8" i="8" s="1"/>
  <c r="Q9" i="8" s="1"/>
  <c r="S5" i="8"/>
  <c r="Q7" i="7"/>
  <c r="Q8" i="7" s="1"/>
  <c r="Q9" i="7" s="1"/>
  <c r="S5" i="7"/>
  <c r="Q7" i="6"/>
  <c r="Q8" i="6" s="1"/>
  <c r="Q9" i="6" s="1"/>
  <c r="S5" i="6"/>
  <c r="Q7" i="2"/>
  <c r="Q8" i="2" s="1"/>
  <c r="Q9" i="2" s="1"/>
</calcChain>
</file>

<file path=xl/sharedStrings.xml><?xml version="1.0" encoding="utf-8"?>
<sst xmlns="http://schemas.openxmlformats.org/spreadsheetml/2006/main" count="168" uniqueCount="54">
  <si>
    <t>Begin</t>
  </si>
  <si>
    <t>End</t>
  </si>
  <si>
    <t>Letter</t>
  </si>
  <si>
    <t>Regular QP</t>
  </si>
  <si>
    <t>Weighted QP</t>
  </si>
  <si>
    <t>E</t>
  </si>
  <si>
    <t>D</t>
  </si>
  <si>
    <t>D+</t>
  </si>
  <si>
    <t>C</t>
  </si>
  <si>
    <t>C+</t>
  </si>
  <si>
    <t>B</t>
  </si>
  <si>
    <t>B+</t>
  </si>
  <si>
    <t>A</t>
  </si>
  <si>
    <t>Letter Grade</t>
  </si>
  <si>
    <t>QP</t>
  </si>
  <si>
    <t>Summative Grades</t>
  </si>
  <si>
    <t>Assignment Name</t>
  </si>
  <si>
    <t>Grade you got</t>
  </si>
  <si>
    <t>Points</t>
  </si>
  <si>
    <t>Points Earned</t>
  </si>
  <si>
    <t>Unit 1 Test</t>
  </si>
  <si>
    <t>Project 1</t>
  </si>
  <si>
    <t>Overall Grade</t>
  </si>
  <si>
    <t>Calculated Totals</t>
  </si>
  <si>
    <t>Formative</t>
  </si>
  <si>
    <t>Summative</t>
  </si>
  <si>
    <t>Total</t>
  </si>
  <si>
    <t>DP#1.1:</t>
  </si>
  <si>
    <t>DP#1 Dear Data: 1.2a </t>
  </si>
  <si>
    <t>DP#1: Dear Data 1.2</t>
  </si>
  <si>
    <t>Summer Assignment</t>
  </si>
  <si>
    <t>DP#1: Dear Data 1.3</t>
  </si>
  <si>
    <t>DP#1: Dear Data 1.4</t>
  </si>
  <si>
    <t>DP#1: Dear Data 1.5</t>
  </si>
  <si>
    <t xml:space="preserve"> DP#1: Dear Data 1.6</t>
  </si>
  <si>
    <t>DP#1: Dear Data 1.6a</t>
  </si>
  <si>
    <t>4.0 Foundational Spreadsheet Skills</t>
  </si>
  <si>
    <t>Grade I got</t>
  </si>
  <si>
    <t>Points possi</t>
  </si>
  <si>
    <t>$N$3</t>
  </si>
  <si>
    <t>$N$4</t>
  </si>
  <si>
    <t>$S$5</t>
  </si>
  <si>
    <t>$Q$7</t>
  </si>
  <si>
    <t>Grade</t>
  </si>
  <si>
    <t>Created by Anthony on 10/1/2026
Modified by Anthony on 10/1/2026</t>
  </si>
  <si>
    <t>Grade Change 2</t>
  </si>
  <si>
    <t>Created by Anthony on 10/1/2026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</si>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</sst>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indexed="9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color indexed="18"/>
      <name val="Aptos Narrow"/>
      <family val="2"/>
      <scheme val="minor"/>
    </font>
    <font>
      <sz val="11"/>
      <color indexed="9"/>
      <name val="Aptos Narrow"/>
      <family val="2"/>
      <scheme val="minor"/>
    </font>
    <font>
      <sz val="8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9" fontId="0" fillId="0" borderId="0" xfId="1" applyFont="1"/>
    <xf numFmtId="0" fontId="3" fillId="0" borderId="0" xfId="2"/>
    <xf numFmtId="43" fontId="0" fillId="0" borderId="0" xfId="3" applyFont="1"/>
    <xf numFmtId="164" fontId="0" fillId="0" borderId="0" xfId="3" applyNumberFormat="1" applyFont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43" fontId="0" fillId="0" borderId="2" xfId="0" applyNumberFormat="1" applyFill="1" applyBorder="1" applyAlignment="1"/>
    <xf numFmtId="0" fontId="4" fillId="3" borderId="3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5" fillId="4" borderId="0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right"/>
    </xf>
    <xf numFmtId="0" fontId="7" fillId="3" borderId="3" xfId="0" applyFont="1" applyFill="1" applyBorder="1" applyAlignment="1">
      <alignment horizontal="right"/>
    </xf>
    <xf numFmtId="0" fontId="0" fillId="5" borderId="0" xfId="0" applyFill="1" applyBorder="1" applyAlignment="1"/>
    <xf numFmtId="0" fontId="8" fillId="0" borderId="0" xfId="0" applyFont="1" applyFill="1" applyBorder="1" applyAlignment="1">
      <alignment vertical="top" wrapText="1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244122</xdr:colOff>
      <xdr:row>1</xdr:row>
      <xdr:rowOff>6586</xdr:rowOff>
    </xdr:from>
    <xdr:to>
      <xdr:col>10</xdr:col>
      <xdr:colOff>587022</xdr:colOff>
      <xdr:row>24</xdr:row>
      <xdr:rowOff>194499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B5339D-F0F3-6797-DB3F-63E220D82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1974" y="213549"/>
          <a:ext cx="7793567" cy="49480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4819C-4E8F-5548-B2AC-CF93D36C51F6}" name="Table1" displayName="Table1" ref="A1:E9" totalsRowShown="0" headerRowDxfId="5">
  <autoFilter ref="A1:E9" xr:uid="{5974819C-4E8F-5548-B2AC-CF93D36C51F6}"/>
  <tableColumns count="5">
    <tableColumn id="1" xr3:uid="{6E84D907-A1CC-204F-BFF4-CE1E3CDD413B}" name="Begin"/>
    <tableColumn id="2" xr3:uid="{D1DAA70F-FB1F-6E43-B7A1-968012814D3B}" name="End"/>
    <tableColumn id="3" xr3:uid="{D2B1B83D-A956-D24C-84CF-57AE681896CA}" name="Letter"/>
    <tableColumn id="4" xr3:uid="{FEBFEA84-1957-8542-8FF0-9670CF21DD7C}" name="Regular QP"/>
    <tableColumn id="5" xr3:uid="{30F5BEA2-AC45-7F46-B6A3-D3D20313797B}" name="Weighted QP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vccs.edu/courses/822781/assignments/19348521/submissions/1449633" TargetMode="External"/><Relationship Id="rId2" Type="http://schemas.openxmlformats.org/officeDocument/2006/relationships/hyperlink" Target="https://learn.vccs.edu/courses/822781/assignments/19348518/submissions/1449633" TargetMode="External"/><Relationship Id="rId1" Type="http://schemas.openxmlformats.org/officeDocument/2006/relationships/hyperlink" Target="https://learn.vccs.edu/courses/822781/assignments/19348520/submissions/1449633" TargetMode="External"/><Relationship Id="rId6" Type="http://schemas.openxmlformats.org/officeDocument/2006/relationships/hyperlink" Target="https://learn.vccs.edu/courses/822781/assignments/19348524/submissions/1449633" TargetMode="External"/><Relationship Id="rId5" Type="http://schemas.openxmlformats.org/officeDocument/2006/relationships/hyperlink" Target="https://learn.vccs.edu/courses/822781/assignments/19348523/submissions/1449633" TargetMode="External"/><Relationship Id="rId4" Type="http://schemas.openxmlformats.org/officeDocument/2006/relationships/hyperlink" Target="https://learn.vccs.edu/courses/822781/assignments/19348522/submissions/144963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vccs.edu/courses/822781/assignments/19348521/submissions/1449633" TargetMode="External"/><Relationship Id="rId2" Type="http://schemas.openxmlformats.org/officeDocument/2006/relationships/hyperlink" Target="https://learn.vccs.edu/courses/822781/assignments/19348518/submissions/1449633" TargetMode="External"/><Relationship Id="rId1" Type="http://schemas.openxmlformats.org/officeDocument/2006/relationships/hyperlink" Target="https://learn.vccs.edu/courses/822781/assignments/19348520/submissions/1449633" TargetMode="External"/><Relationship Id="rId6" Type="http://schemas.openxmlformats.org/officeDocument/2006/relationships/hyperlink" Target="https://learn.vccs.edu/courses/822781/assignments/19348524/submissions/1449633" TargetMode="External"/><Relationship Id="rId5" Type="http://schemas.openxmlformats.org/officeDocument/2006/relationships/hyperlink" Target="https://learn.vccs.edu/courses/822781/assignments/19348523/submissions/1449633" TargetMode="External"/><Relationship Id="rId4" Type="http://schemas.openxmlformats.org/officeDocument/2006/relationships/hyperlink" Target="https://learn.vccs.edu/courses/822781/assignments/19348522/submissions/144963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vccs.edu/courses/822781/assignments/19348521/submissions/1449633" TargetMode="External"/><Relationship Id="rId2" Type="http://schemas.openxmlformats.org/officeDocument/2006/relationships/hyperlink" Target="https://learn.vccs.edu/courses/822781/assignments/19348518/submissions/1449633" TargetMode="External"/><Relationship Id="rId1" Type="http://schemas.openxmlformats.org/officeDocument/2006/relationships/hyperlink" Target="https://learn.vccs.edu/courses/822781/assignments/19348520/submissions/1449633" TargetMode="External"/><Relationship Id="rId6" Type="http://schemas.openxmlformats.org/officeDocument/2006/relationships/hyperlink" Target="https://learn.vccs.edu/courses/822781/assignments/19348524/submissions/1449633" TargetMode="External"/><Relationship Id="rId5" Type="http://schemas.openxmlformats.org/officeDocument/2006/relationships/hyperlink" Target="https://learn.vccs.edu/courses/822781/assignments/19348523/submissions/1449633" TargetMode="External"/><Relationship Id="rId4" Type="http://schemas.openxmlformats.org/officeDocument/2006/relationships/hyperlink" Target="https://learn.vccs.edu/courses/822781/assignments/19348522/submissions/1449633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vccs.edu/courses/822781/assignments/19348521/submissions/1449633" TargetMode="External"/><Relationship Id="rId2" Type="http://schemas.openxmlformats.org/officeDocument/2006/relationships/hyperlink" Target="https://learn.vccs.edu/courses/822781/assignments/19348518/submissions/1449633" TargetMode="External"/><Relationship Id="rId1" Type="http://schemas.openxmlformats.org/officeDocument/2006/relationships/hyperlink" Target="https://learn.vccs.edu/courses/822781/assignments/19348520/submissions/1449633" TargetMode="External"/><Relationship Id="rId6" Type="http://schemas.openxmlformats.org/officeDocument/2006/relationships/hyperlink" Target="https://learn.vccs.edu/courses/822781/assignments/19348524/submissions/1449633" TargetMode="External"/><Relationship Id="rId5" Type="http://schemas.openxmlformats.org/officeDocument/2006/relationships/hyperlink" Target="https://learn.vccs.edu/courses/822781/assignments/19348523/submissions/1449633" TargetMode="External"/><Relationship Id="rId4" Type="http://schemas.openxmlformats.org/officeDocument/2006/relationships/hyperlink" Target="https://learn.vccs.edu/courses/822781/assignments/19348522/submissions/1449633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vccs.edu/courses/822781/assignments/19348521/submissions/1449633" TargetMode="External"/><Relationship Id="rId2" Type="http://schemas.openxmlformats.org/officeDocument/2006/relationships/hyperlink" Target="https://learn.vccs.edu/courses/822781/assignments/19348518/submissions/1449633" TargetMode="External"/><Relationship Id="rId1" Type="http://schemas.openxmlformats.org/officeDocument/2006/relationships/hyperlink" Target="https://learn.vccs.edu/courses/822781/assignments/19348520/submissions/1449633" TargetMode="External"/><Relationship Id="rId6" Type="http://schemas.openxmlformats.org/officeDocument/2006/relationships/hyperlink" Target="https://learn.vccs.edu/courses/822781/assignments/19348524/submissions/1449633" TargetMode="External"/><Relationship Id="rId5" Type="http://schemas.openxmlformats.org/officeDocument/2006/relationships/hyperlink" Target="https://learn.vccs.edu/courses/822781/assignments/19348523/submissions/1449633" TargetMode="External"/><Relationship Id="rId4" Type="http://schemas.openxmlformats.org/officeDocument/2006/relationships/hyperlink" Target="https://learn.vccs.edu/courses/822781/assignments/19348522/submissions/14496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5D36-A9AD-2647-B660-C42E0D5FB95A}">
  <dimension ref="A1:J9"/>
  <sheetViews>
    <sheetView tabSelected="1" workbookViewId="0">
      <selection activeCell="I12" sqref="I12"/>
    </sheetView>
  </sheetViews>
  <sheetFormatPr baseColWidth="10" defaultRowHeight="16" x14ac:dyDescent="0.2"/>
  <cols>
    <col min="4" max="4" width="12.6640625" customWidth="1"/>
    <col min="5" max="5" width="14.1640625" customWidth="1"/>
    <col min="10" max="10" width="14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  <c r="H1" s="1"/>
      <c r="I1" s="1"/>
      <c r="J1" s="1"/>
    </row>
    <row r="2" spans="1:10" x14ac:dyDescent="0.2">
      <c r="A2">
        <v>0</v>
      </c>
      <c r="B2">
        <v>59</v>
      </c>
      <c r="C2" t="s">
        <v>5</v>
      </c>
      <c r="D2">
        <v>0</v>
      </c>
      <c r="E2">
        <v>0</v>
      </c>
    </row>
    <row r="3" spans="1:10" x14ac:dyDescent="0.2">
      <c r="A3">
        <v>60</v>
      </c>
      <c r="B3">
        <v>66</v>
      </c>
      <c r="C3" t="s">
        <v>6</v>
      </c>
      <c r="D3">
        <v>1</v>
      </c>
      <c r="E3">
        <v>2</v>
      </c>
      <c r="F3" s="1"/>
    </row>
    <row r="4" spans="1:10" x14ac:dyDescent="0.2">
      <c r="A4">
        <v>67</v>
      </c>
      <c r="B4">
        <v>69</v>
      </c>
      <c r="C4" t="s">
        <v>7</v>
      </c>
      <c r="D4">
        <v>1.5</v>
      </c>
      <c r="E4">
        <v>2.5</v>
      </c>
    </row>
    <row r="5" spans="1:10" x14ac:dyDescent="0.2">
      <c r="A5">
        <v>70</v>
      </c>
      <c r="B5">
        <v>76</v>
      </c>
      <c r="C5" t="s">
        <v>8</v>
      </c>
      <c r="D5">
        <v>2</v>
      </c>
      <c r="E5">
        <v>3</v>
      </c>
    </row>
    <row r="6" spans="1:10" x14ac:dyDescent="0.2">
      <c r="A6">
        <v>77</v>
      </c>
      <c r="B6">
        <v>79</v>
      </c>
      <c r="C6" t="s">
        <v>9</v>
      </c>
      <c r="D6">
        <v>2.5</v>
      </c>
      <c r="E6">
        <v>3.5</v>
      </c>
    </row>
    <row r="7" spans="1:10" x14ac:dyDescent="0.2">
      <c r="A7">
        <v>80</v>
      </c>
      <c r="B7">
        <v>86</v>
      </c>
      <c r="C7" t="s">
        <v>10</v>
      </c>
      <c r="D7">
        <v>3</v>
      </c>
      <c r="E7">
        <v>4</v>
      </c>
    </row>
    <row r="8" spans="1:10" x14ac:dyDescent="0.2">
      <c r="A8">
        <v>87</v>
      </c>
      <c r="B8">
        <v>89</v>
      </c>
      <c r="C8" t="s">
        <v>11</v>
      </c>
      <c r="D8">
        <v>3.5</v>
      </c>
      <c r="E8">
        <v>4.5</v>
      </c>
    </row>
    <row r="9" spans="1:10" x14ac:dyDescent="0.2">
      <c r="A9">
        <v>90</v>
      </c>
      <c r="B9">
        <v>100</v>
      </c>
      <c r="C9" t="s">
        <v>12</v>
      </c>
      <c r="D9">
        <v>4</v>
      </c>
      <c r="E9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3663-DB5A-7B4E-8C23-01B04EE58FCF}">
  <dimension ref="A1"/>
  <sheetViews>
    <sheetView topLeftCell="C8" zoomScale="315" workbookViewId="0">
      <selection activeCell="E17" sqref="E1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CD19-1800-F547-ACD6-E7A5C6D9A5AA}">
  <dimension ref="A1:S11"/>
  <sheetViews>
    <sheetView zoomScale="117" workbookViewId="0">
      <selection activeCell="L17" sqref="L17"/>
    </sheetView>
  </sheetViews>
  <sheetFormatPr baseColWidth="10" defaultRowHeight="16" x14ac:dyDescent="0.2"/>
  <sheetData>
    <row r="1" spans="1:19" x14ac:dyDescent="0.2">
      <c r="A1" s="2" t="s">
        <v>16</v>
      </c>
      <c r="B1" s="2" t="s">
        <v>37</v>
      </c>
      <c r="C1" s="2" t="s">
        <v>38</v>
      </c>
      <c r="D1" s="2" t="s">
        <v>19</v>
      </c>
      <c r="M1" s="1" t="s">
        <v>15</v>
      </c>
      <c r="R1" t="s">
        <v>23</v>
      </c>
    </row>
    <row r="2" spans="1:19" x14ac:dyDescent="0.2">
      <c r="A2" s="4" t="s">
        <v>27</v>
      </c>
      <c r="B2" s="4">
        <v>100</v>
      </c>
      <c r="C2">
        <v>10</v>
      </c>
      <c r="D2">
        <f>B2/100 * C2</f>
        <v>10</v>
      </c>
      <c r="M2" s="2" t="s">
        <v>16</v>
      </c>
      <c r="N2" s="2" t="s">
        <v>17</v>
      </c>
      <c r="O2" s="2" t="s">
        <v>18</v>
      </c>
      <c r="P2" s="2" t="s">
        <v>19</v>
      </c>
      <c r="R2" s="2" t="s">
        <v>24</v>
      </c>
      <c r="S2" s="3">
        <f>SUM(D:D)/SUM(C:C)</f>
        <v>0.87804878048780488</v>
      </c>
    </row>
    <row r="3" spans="1:19" x14ac:dyDescent="0.2">
      <c r="A3" s="4" t="s">
        <v>28</v>
      </c>
      <c r="B3" s="4">
        <v>100</v>
      </c>
      <c r="C3">
        <v>5</v>
      </c>
      <c r="D3">
        <f t="shared" ref="D3:D11" si="0">B3/100 * C3</f>
        <v>5</v>
      </c>
      <c r="M3" t="s">
        <v>20</v>
      </c>
      <c r="N3">
        <v>80</v>
      </c>
      <c r="O3">
        <v>46</v>
      </c>
      <c r="P3">
        <f>N3/100 * O3</f>
        <v>36.800000000000004</v>
      </c>
      <c r="R3" s="2" t="s">
        <v>25</v>
      </c>
      <c r="S3" s="3">
        <f>SUM(P3:P6)/SUM(O3:O6)</f>
        <v>0.86060606060606071</v>
      </c>
    </row>
    <row r="4" spans="1:19" x14ac:dyDescent="0.2">
      <c r="A4" s="4" t="s">
        <v>29</v>
      </c>
      <c r="B4" s="4">
        <v>100</v>
      </c>
      <c r="C4">
        <v>10</v>
      </c>
      <c r="D4">
        <f t="shared" si="0"/>
        <v>10</v>
      </c>
      <c r="M4" t="s">
        <v>21</v>
      </c>
      <c r="N4">
        <v>100</v>
      </c>
      <c r="O4">
        <v>20</v>
      </c>
      <c r="P4">
        <f>N4/100*O4</f>
        <v>20</v>
      </c>
    </row>
    <row r="5" spans="1:19" x14ac:dyDescent="0.2">
      <c r="A5" t="s">
        <v>30</v>
      </c>
      <c r="B5" s="4">
        <v>100</v>
      </c>
      <c r="C5">
        <v>5</v>
      </c>
      <c r="D5">
        <f t="shared" si="0"/>
        <v>5</v>
      </c>
      <c r="R5" t="s">
        <v>26</v>
      </c>
      <c r="S5" s="6">
        <f>0.6*S3+0.4*S2</f>
        <v>0.8675831485587584</v>
      </c>
    </row>
    <row r="6" spans="1:19" x14ac:dyDescent="0.2">
      <c r="A6" s="4" t="s">
        <v>31</v>
      </c>
      <c r="B6" s="4">
        <v>0</v>
      </c>
      <c r="C6" s="4">
        <v>2</v>
      </c>
      <c r="D6">
        <f t="shared" si="0"/>
        <v>0</v>
      </c>
    </row>
    <row r="7" spans="1:19" x14ac:dyDescent="0.2">
      <c r="A7" s="4" t="s">
        <v>32</v>
      </c>
      <c r="B7" s="4">
        <v>50</v>
      </c>
      <c r="C7">
        <v>10</v>
      </c>
      <c r="D7">
        <f t="shared" si="0"/>
        <v>5</v>
      </c>
      <c r="P7" t="s">
        <v>22</v>
      </c>
      <c r="Q7" s="5">
        <f>(0.6*S3+0.4*S2)*100</f>
        <v>86.758314855875838</v>
      </c>
    </row>
    <row r="8" spans="1:19" x14ac:dyDescent="0.2">
      <c r="A8" s="4" t="s">
        <v>33</v>
      </c>
      <c r="B8" s="4">
        <v>80</v>
      </c>
      <c r="C8">
        <v>10</v>
      </c>
      <c r="D8">
        <f t="shared" si="0"/>
        <v>8</v>
      </c>
      <c r="P8" t="s">
        <v>13</v>
      </c>
      <c r="Q8" t="str">
        <f>VLOOKUP(Q7,Table1[[#All],[Begin]:[Weighted QP]],3,TRUE)</f>
        <v>B</v>
      </c>
    </row>
    <row r="9" spans="1:19" x14ac:dyDescent="0.2">
      <c r="A9" t="s">
        <v>34</v>
      </c>
      <c r="B9" s="4">
        <v>100</v>
      </c>
      <c r="C9">
        <v>10</v>
      </c>
      <c r="D9">
        <f t="shared" si="0"/>
        <v>10</v>
      </c>
      <c r="P9" t="s">
        <v>14</v>
      </c>
      <c r="Q9">
        <f>VLOOKUP(Q8,Table1[[#All],[Letter]:[Weighted QP]],2,0)</f>
        <v>3</v>
      </c>
    </row>
    <row r="10" spans="1:19" x14ac:dyDescent="0.2">
      <c r="A10" t="s">
        <v>35</v>
      </c>
      <c r="B10" s="4">
        <v>100</v>
      </c>
      <c r="C10">
        <v>10</v>
      </c>
      <c r="D10">
        <f t="shared" si="0"/>
        <v>10</v>
      </c>
    </row>
    <row r="11" spans="1:19" x14ac:dyDescent="0.2">
      <c r="A11" t="s">
        <v>36</v>
      </c>
      <c r="B11" s="4">
        <v>90</v>
      </c>
      <c r="C11">
        <v>10</v>
      </c>
      <c r="D11">
        <f t="shared" si="0"/>
        <v>9</v>
      </c>
    </row>
  </sheetData>
  <conditionalFormatting sqref="C4:C5 C7:C21">
    <cfRule type="top10" dxfId="4" priority="1" bottom="1" rank="5"/>
  </conditionalFormatting>
  <hyperlinks>
    <hyperlink ref="A2" r:id="rId1" display="https://learn.vccs.edu/courses/822781/assignments/19348520/submissions/1449633" xr:uid="{C0EC3652-5A65-3343-87B2-D8F9E81B31DB}"/>
    <hyperlink ref="A3" r:id="rId2" display="https://learn.vccs.edu/courses/822781/assignments/19348518/submissions/1449633" xr:uid="{26708064-A571-994F-9010-29BBA36DE648}"/>
    <hyperlink ref="A4" r:id="rId3" display="https://learn.vccs.edu/courses/822781/assignments/19348521/submissions/1449633" xr:uid="{3BC6255A-A42F-9649-9BD3-351F0B0BB36D}"/>
    <hyperlink ref="A6" r:id="rId4" display="https://learn.vccs.edu/courses/822781/assignments/19348522/submissions/1449633" xr:uid="{C0CAB54C-5E91-2348-9B87-7380C6F4D6BA}"/>
    <hyperlink ref="A7" r:id="rId5" display="https://learn.vccs.edu/courses/822781/assignments/19348523/submissions/1449633" xr:uid="{F635CE53-5C41-C24D-8E26-F465C50C1171}"/>
    <hyperlink ref="A8" r:id="rId6" display="https://learn.vccs.edu/courses/822781/assignments/19348524/submissions/1449633" xr:uid="{4FBCF7FD-DCA9-564A-9E5B-ED5979D4C8A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E5AB-B096-0E47-B0C3-CB05524C9370}">
  <dimension ref="A1:S11"/>
  <sheetViews>
    <sheetView zoomScale="117" workbookViewId="0">
      <selection activeCell="I13" sqref="I13"/>
    </sheetView>
  </sheetViews>
  <sheetFormatPr baseColWidth="10" defaultRowHeight="16" x14ac:dyDescent="0.2"/>
  <sheetData>
    <row r="1" spans="1:19" x14ac:dyDescent="0.2">
      <c r="A1" s="2" t="s">
        <v>16</v>
      </c>
      <c r="B1" s="2" t="s">
        <v>37</v>
      </c>
      <c r="C1" s="2" t="s">
        <v>38</v>
      </c>
      <c r="D1" s="2" t="s">
        <v>19</v>
      </c>
      <c r="M1" s="1" t="s">
        <v>15</v>
      </c>
      <c r="R1" t="s">
        <v>23</v>
      </c>
    </row>
    <row r="2" spans="1:19" x14ac:dyDescent="0.2">
      <c r="A2" s="4" t="s">
        <v>27</v>
      </c>
      <c r="B2" s="4">
        <v>100</v>
      </c>
      <c r="C2">
        <v>10</v>
      </c>
      <c r="D2">
        <f>B2/100 * C2</f>
        <v>10</v>
      </c>
      <c r="M2" s="2" t="s">
        <v>16</v>
      </c>
      <c r="N2" s="2" t="s">
        <v>17</v>
      </c>
      <c r="O2" s="2" t="s">
        <v>18</v>
      </c>
      <c r="P2" s="2" t="s">
        <v>19</v>
      </c>
      <c r="R2" s="2" t="s">
        <v>24</v>
      </c>
      <c r="S2" s="3">
        <f>SUM(D:D)/SUM(C:C)</f>
        <v>0.87804878048780488</v>
      </c>
    </row>
    <row r="3" spans="1:19" x14ac:dyDescent="0.2">
      <c r="A3" s="4" t="s">
        <v>28</v>
      </c>
      <c r="B3" s="4">
        <v>100</v>
      </c>
      <c r="C3">
        <v>5</v>
      </c>
      <c r="D3">
        <f t="shared" ref="D3:D11" si="0">B3/100 * C3</f>
        <v>5</v>
      </c>
      <c r="M3" t="s">
        <v>20</v>
      </c>
      <c r="N3">
        <v>80</v>
      </c>
      <c r="O3">
        <v>46</v>
      </c>
      <c r="P3">
        <f>N3/100 * O3</f>
        <v>36.800000000000004</v>
      </c>
      <c r="R3" s="2" t="s">
        <v>25</v>
      </c>
      <c r="S3" s="3">
        <f>SUM(P3:P6)/SUM(O3:O6)</f>
        <v>0.86060606060606071</v>
      </c>
    </row>
    <row r="4" spans="1:19" x14ac:dyDescent="0.2">
      <c r="A4" s="4" t="s">
        <v>29</v>
      </c>
      <c r="B4" s="4">
        <v>100</v>
      </c>
      <c r="C4">
        <v>10</v>
      </c>
      <c r="D4">
        <f t="shared" si="0"/>
        <v>10</v>
      </c>
      <c r="M4" t="s">
        <v>21</v>
      </c>
      <c r="N4">
        <v>100</v>
      </c>
      <c r="O4">
        <v>20</v>
      </c>
      <c r="P4">
        <f>N4/100*O4</f>
        <v>20</v>
      </c>
    </row>
    <row r="5" spans="1:19" x14ac:dyDescent="0.2">
      <c r="A5" t="s">
        <v>30</v>
      </c>
      <c r="B5" s="4">
        <v>100</v>
      </c>
      <c r="C5">
        <v>5</v>
      </c>
      <c r="D5">
        <f t="shared" si="0"/>
        <v>5</v>
      </c>
      <c r="R5" t="s">
        <v>26</v>
      </c>
      <c r="S5" s="6">
        <f>0.6*S3+0.4*S2</f>
        <v>0.8675831485587584</v>
      </c>
    </row>
    <row r="6" spans="1:19" x14ac:dyDescent="0.2">
      <c r="A6" s="4" t="s">
        <v>31</v>
      </c>
      <c r="B6" s="4">
        <v>0</v>
      </c>
      <c r="C6" s="4">
        <v>2</v>
      </c>
      <c r="D6">
        <f t="shared" si="0"/>
        <v>0</v>
      </c>
    </row>
    <row r="7" spans="1:19" x14ac:dyDescent="0.2">
      <c r="A7" s="4" t="s">
        <v>32</v>
      </c>
      <c r="B7" s="4">
        <v>50</v>
      </c>
      <c r="C7">
        <v>10</v>
      </c>
      <c r="D7">
        <f t="shared" si="0"/>
        <v>5</v>
      </c>
      <c r="P7" t="s">
        <v>22</v>
      </c>
      <c r="Q7" s="5">
        <f>(0.6*S3+0.4*S2)*100</f>
        <v>86.758314855875838</v>
      </c>
    </row>
    <row r="8" spans="1:19" x14ac:dyDescent="0.2">
      <c r="A8" s="4" t="s">
        <v>33</v>
      </c>
      <c r="B8" s="4">
        <v>80</v>
      </c>
      <c r="C8">
        <v>10</v>
      </c>
      <c r="D8">
        <f t="shared" si="0"/>
        <v>8</v>
      </c>
      <c r="P8" t="s">
        <v>13</v>
      </c>
      <c r="Q8" t="str">
        <f>VLOOKUP(Q7,Table1[[#All],[Begin]:[Weighted QP]],3,TRUE)</f>
        <v>B</v>
      </c>
    </row>
    <row r="9" spans="1:19" x14ac:dyDescent="0.2">
      <c r="A9" t="s">
        <v>34</v>
      </c>
      <c r="B9" s="4">
        <v>100</v>
      </c>
      <c r="C9">
        <v>10</v>
      </c>
      <c r="D9">
        <f t="shared" si="0"/>
        <v>10</v>
      </c>
      <c r="P9" t="s">
        <v>14</v>
      </c>
      <c r="Q9">
        <f>VLOOKUP(Q8,Table1[[#All],[Letter]:[Weighted QP]],2,0)</f>
        <v>3</v>
      </c>
    </row>
    <row r="10" spans="1:19" x14ac:dyDescent="0.2">
      <c r="A10" t="s">
        <v>35</v>
      </c>
      <c r="B10" s="4">
        <v>100</v>
      </c>
      <c r="C10">
        <v>10</v>
      </c>
      <c r="D10">
        <f t="shared" si="0"/>
        <v>10</v>
      </c>
    </row>
    <row r="11" spans="1:19" x14ac:dyDescent="0.2">
      <c r="A11" t="s">
        <v>36</v>
      </c>
      <c r="B11" s="4">
        <v>90</v>
      </c>
      <c r="C11">
        <v>10</v>
      </c>
      <c r="D11">
        <f t="shared" si="0"/>
        <v>9</v>
      </c>
    </row>
  </sheetData>
  <conditionalFormatting sqref="C4:C5 C7:C21">
    <cfRule type="top10" dxfId="1" priority="1" bottom="1" rank="5"/>
  </conditionalFormatting>
  <hyperlinks>
    <hyperlink ref="A2" r:id="rId1" display="https://learn.vccs.edu/courses/822781/assignments/19348520/submissions/1449633" xr:uid="{000ADC25-1BBB-D046-B246-C0BB0363430F}"/>
    <hyperlink ref="A3" r:id="rId2" display="https://learn.vccs.edu/courses/822781/assignments/19348518/submissions/1449633" xr:uid="{3CCC6C88-4BC6-0D4B-A4F1-B1ABA2786121}"/>
    <hyperlink ref="A4" r:id="rId3" display="https://learn.vccs.edu/courses/822781/assignments/19348521/submissions/1449633" xr:uid="{4B1A8339-660B-574A-8943-7E66C8A5019B}"/>
    <hyperlink ref="A6" r:id="rId4" display="https://learn.vccs.edu/courses/822781/assignments/19348522/submissions/1449633" xr:uid="{D25D484D-0E59-A442-8D9A-E2EE39A7C8AB}"/>
    <hyperlink ref="A7" r:id="rId5" display="https://learn.vccs.edu/courses/822781/assignments/19348523/submissions/1449633" xr:uid="{5902A32E-1E24-704B-87BB-E0072961B062}"/>
    <hyperlink ref="A8" r:id="rId6" display="https://learn.vccs.edu/courses/822781/assignments/19348524/submissions/1449633" xr:uid="{CE82F29E-F3D5-834A-99E2-AE2994EB559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1E4B-18BD-D643-9264-29FA60B79970}">
  <dimension ref="A1:S11"/>
  <sheetViews>
    <sheetView zoomScale="117" workbookViewId="0">
      <selection activeCell="I13" sqref="I13"/>
    </sheetView>
  </sheetViews>
  <sheetFormatPr baseColWidth="10" defaultRowHeight="16" x14ac:dyDescent="0.2"/>
  <sheetData>
    <row r="1" spans="1:19" x14ac:dyDescent="0.2">
      <c r="A1" s="2" t="s">
        <v>16</v>
      </c>
      <c r="B1" s="2" t="s">
        <v>37</v>
      </c>
      <c r="C1" s="2" t="s">
        <v>38</v>
      </c>
      <c r="D1" s="2" t="s">
        <v>19</v>
      </c>
      <c r="M1" s="1" t="s">
        <v>15</v>
      </c>
      <c r="R1" t="s">
        <v>23</v>
      </c>
    </row>
    <row r="2" spans="1:19" x14ac:dyDescent="0.2">
      <c r="A2" s="4" t="s">
        <v>27</v>
      </c>
      <c r="B2" s="4">
        <v>100</v>
      </c>
      <c r="C2">
        <v>10</v>
      </c>
      <c r="D2">
        <f>B2/100 * C2</f>
        <v>10</v>
      </c>
      <c r="M2" s="2" t="s">
        <v>16</v>
      </c>
      <c r="N2" s="2" t="s">
        <v>17</v>
      </c>
      <c r="O2" s="2" t="s">
        <v>18</v>
      </c>
      <c r="P2" s="2" t="s">
        <v>19</v>
      </c>
      <c r="R2" s="2" t="s">
        <v>24</v>
      </c>
      <c r="S2" s="3">
        <f>SUM(D:D)/SUM(C:C)</f>
        <v>0.87804878048780488</v>
      </c>
    </row>
    <row r="3" spans="1:19" x14ac:dyDescent="0.2">
      <c r="A3" s="4" t="s">
        <v>28</v>
      </c>
      <c r="B3" s="4">
        <v>100</v>
      </c>
      <c r="C3">
        <v>5</v>
      </c>
      <c r="D3">
        <f t="shared" ref="D3:D11" si="0">B3/100 * C3</f>
        <v>5</v>
      </c>
      <c r="M3" t="s">
        <v>20</v>
      </c>
      <c r="N3">
        <v>80</v>
      </c>
      <c r="O3">
        <v>46</v>
      </c>
      <c r="P3">
        <f>N3/100 * O3</f>
        <v>36.800000000000004</v>
      </c>
      <c r="R3" s="2" t="s">
        <v>25</v>
      </c>
      <c r="S3" s="3">
        <f>SUM(P3:P6)/SUM(O3:O6)</f>
        <v>0.86060606060606071</v>
      </c>
    </row>
    <row r="4" spans="1:19" x14ac:dyDescent="0.2">
      <c r="A4" s="4" t="s">
        <v>29</v>
      </c>
      <c r="B4" s="4">
        <v>100</v>
      </c>
      <c r="C4">
        <v>10</v>
      </c>
      <c r="D4">
        <f t="shared" si="0"/>
        <v>10</v>
      </c>
      <c r="M4" t="s">
        <v>21</v>
      </c>
      <c r="N4">
        <v>100</v>
      </c>
      <c r="O4">
        <v>20</v>
      </c>
      <c r="P4">
        <f>N4/100*O4</f>
        <v>20</v>
      </c>
    </row>
    <row r="5" spans="1:19" x14ac:dyDescent="0.2">
      <c r="A5" t="s">
        <v>30</v>
      </c>
      <c r="B5" s="4">
        <v>100</v>
      </c>
      <c r="C5">
        <v>5</v>
      </c>
      <c r="D5">
        <f t="shared" si="0"/>
        <v>5</v>
      </c>
      <c r="R5" t="s">
        <v>26</v>
      </c>
      <c r="S5" s="6">
        <f>0.6*S3+0.4*S2</f>
        <v>0.8675831485587584</v>
      </c>
    </row>
    <row r="6" spans="1:19" x14ac:dyDescent="0.2">
      <c r="A6" s="4" t="s">
        <v>31</v>
      </c>
      <c r="B6" s="4">
        <v>0</v>
      </c>
      <c r="C6" s="4">
        <v>2</v>
      </c>
      <c r="D6">
        <f t="shared" si="0"/>
        <v>0</v>
      </c>
    </row>
    <row r="7" spans="1:19" x14ac:dyDescent="0.2">
      <c r="A7" s="4" t="s">
        <v>32</v>
      </c>
      <c r="B7" s="4">
        <v>50</v>
      </c>
      <c r="C7">
        <v>10</v>
      </c>
      <c r="D7">
        <f t="shared" si="0"/>
        <v>5</v>
      </c>
      <c r="P7" t="s">
        <v>22</v>
      </c>
      <c r="Q7" s="5">
        <f>(0.6*S3+0.4*S2)*100</f>
        <v>86.758314855875838</v>
      </c>
    </row>
    <row r="8" spans="1:19" x14ac:dyDescent="0.2">
      <c r="A8" s="4" t="s">
        <v>33</v>
      </c>
      <c r="B8" s="4">
        <v>80</v>
      </c>
      <c r="C8">
        <v>10</v>
      </c>
      <c r="D8">
        <f t="shared" si="0"/>
        <v>8</v>
      </c>
      <c r="P8" t="s">
        <v>13</v>
      </c>
      <c r="Q8" t="str">
        <f>VLOOKUP(Q7,Table1[[#All],[Begin]:[Weighted QP]],3,TRUE)</f>
        <v>B</v>
      </c>
    </row>
    <row r="9" spans="1:19" x14ac:dyDescent="0.2">
      <c r="A9" t="s">
        <v>34</v>
      </c>
      <c r="B9" s="4">
        <v>100</v>
      </c>
      <c r="C9">
        <v>10</v>
      </c>
      <c r="D9">
        <f t="shared" si="0"/>
        <v>10</v>
      </c>
      <c r="P9" t="s">
        <v>14</v>
      </c>
      <c r="Q9">
        <f>VLOOKUP(Q8,Table1[[#All],[Letter]:[Weighted QP]],2,0)</f>
        <v>3</v>
      </c>
    </row>
    <row r="10" spans="1:19" x14ac:dyDescent="0.2">
      <c r="A10" t="s">
        <v>35</v>
      </c>
      <c r="B10" s="4">
        <v>100</v>
      </c>
      <c r="C10">
        <v>10</v>
      </c>
      <c r="D10">
        <f t="shared" si="0"/>
        <v>10</v>
      </c>
    </row>
    <row r="11" spans="1:19" x14ac:dyDescent="0.2">
      <c r="A11" t="s">
        <v>36</v>
      </c>
      <c r="B11" s="4">
        <v>90</v>
      </c>
      <c r="C11">
        <v>10</v>
      </c>
      <c r="D11">
        <f t="shared" si="0"/>
        <v>9</v>
      </c>
    </row>
  </sheetData>
  <conditionalFormatting sqref="C4:C5 C7:C21">
    <cfRule type="top10" dxfId="2" priority="1" bottom="1" rank="5"/>
  </conditionalFormatting>
  <hyperlinks>
    <hyperlink ref="A2" r:id="rId1" display="https://learn.vccs.edu/courses/822781/assignments/19348520/submissions/1449633" xr:uid="{4DCF94BA-34D1-E74D-8DB3-4687E1350DAF}"/>
    <hyperlink ref="A3" r:id="rId2" display="https://learn.vccs.edu/courses/822781/assignments/19348518/submissions/1449633" xr:uid="{4FC478E1-0D57-424B-96EF-563A68055AE6}"/>
    <hyperlink ref="A4" r:id="rId3" display="https://learn.vccs.edu/courses/822781/assignments/19348521/submissions/1449633" xr:uid="{5DF78804-257E-F842-8568-1B6E5F879F2A}"/>
    <hyperlink ref="A6" r:id="rId4" display="https://learn.vccs.edu/courses/822781/assignments/19348522/submissions/1449633" xr:uid="{02B32B13-C537-4548-BFDE-B3D4E3252C86}"/>
    <hyperlink ref="A7" r:id="rId5" display="https://learn.vccs.edu/courses/822781/assignments/19348523/submissions/1449633" xr:uid="{025FCE5A-B652-8749-8326-D307D66299D2}"/>
    <hyperlink ref="A8" r:id="rId6" display="https://learn.vccs.edu/courses/822781/assignments/19348524/submissions/1449633" xr:uid="{1F35164F-02FF-5D4F-85B0-AD53C8D5D96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3B86-7E27-2740-ADCA-4EE691BEB656}">
  <dimension ref="A1:S11"/>
  <sheetViews>
    <sheetView zoomScale="117" workbookViewId="0">
      <selection activeCell="H21" sqref="H21"/>
    </sheetView>
  </sheetViews>
  <sheetFormatPr baseColWidth="10" defaultRowHeight="16" x14ac:dyDescent="0.2"/>
  <sheetData>
    <row r="1" spans="1:19" x14ac:dyDescent="0.2">
      <c r="A1" s="2" t="s">
        <v>16</v>
      </c>
      <c r="B1" s="2" t="s">
        <v>37</v>
      </c>
      <c r="C1" s="2" t="s">
        <v>38</v>
      </c>
      <c r="D1" s="2" t="s">
        <v>19</v>
      </c>
      <c r="M1" s="1" t="s">
        <v>15</v>
      </c>
      <c r="R1" t="s">
        <v>23</v>
      </c>
    </row>
    <row r="2" spans="1:19" x14ac:dyDescent="0.2">
      <c r="A2" s="4" t="s">
        <v>27</v>
      </c>
      <c r="B2" s="4">
        <v>100</v>
      </c>
      <c r="C2">
        <v>10</v>
      </c>
      <c r="D2">
        <f>B2/100 * C2</f>
        <v>10</v>
      </c>
      <c r="M2" s="2" t="s">
        <v>16</v>
      </c>
      <c r="N2" s="2" t="s">
        <v>17</v>
      </c>
      <c r="O2" s="2" t="s">
        <v>18</v>
      </c>
      <c r="P2" s="2" t="s">
        <v>19</v>
      </c>
      <c r="R2" s="2" t="s">
        <v>24</v>
      </c>
      <c r="S2" s="3">
        <f>SUM(D:D)/SUM(C:C)</f>
        <v>0.87804878048780488</v>
      </c>
    </row>
    <row r="3" spans="1:19" x14ac:dyDescent="0.2">
      <c r="A3" s="4" t="s">
        <v>28</v>
      </c>
      <c r="B3" s="4">
        <v>100</v>
      </c>
      <c r="C3">
        <v>5</v>
      </c>
      <c r="D3">
        <f t="shared" ref="D3:D11" si="0">B3/100 * C3</f>
        <v>5</v>
      </c>
      <c r="M3" t="s">
        <v>20</v>
      </c>
      <c r="N3">
        <v>80</v>
      </c>
      <c r="O3">
        <v>46</v>
      </c>
      <c r="P3">
        <f>N3/100 * O3</f>
        <v>36.800000000000004</v>
      </c>
      <c r="R3" s="2" t="s">
        <v>25</v>
      </c>
      <c r="S3" s="3">
        <f>SUM(P3:P6)/SUM(O3:O6)</f>
        <v>0.86060606060606071</v>
      </c>
    </row>
    <row r="4" spans="1:19" x14ac:dyDescent="0.2">
      <c r="A4" s="4" t="s">
        <v>29</v>
      </c>
      <c r="B4" s="4">
        <v>100</v>
      </c>
      <c r="C4">
        <v>10</v>
      </c>
      <c r="D4">
        <f t="shared" si="0"/>
        <v>10</v>
      </c>
      <c r="M4" t="s">
        <v>21</v>
      </c>
      <c r="N4">
        <v>100</v>
      </c>
      <c r="O4">
        <v>20</v>
      </c>
      <c r="P4">
        <f>N4/100*O4</f>
        <v>20</v>
      </c>
    </row>
    <row r="5" spans="1:19" x14ac:dyDescent="0.2">
      <c r="A5" t="s">
        <v>30</v>
      </c>
      <c r="B5" s="4">
        <v>100</v>
      </c>
      <c r="C5">
        <v>5</v>
      </c>
      <c r="D5">
        <f t="shared" si="0"/>
        <v>5</v>
      </c>
      <c r="R5" t="s">
        <v>26</v>
      </c>
      <c r="S5" s="6">
        <f>0.6*S3+0.4*S2</f>
        <v>0.8675831485587584</v>
      </c>
    </row>
    <row r="6" spans="1:19" x14ac:dyDescent="0.2">
      <c r="A6" s="4" t="s">
        <v>31</v>
      </c>
      <c r="B6" s="4">
        <v>0</v>
      </c>
      <c r="C6" s="4">
        <v>2</v>
      </c>
      <c r="D6">
        <f t="shared" si="0"/>
        <v>0</v>
      </c>
    </row>
    <row r="7" spans="1:19" x14ac:dyDescent="0.2">
      <c r="A7" s="4" t="s">
        <v>32</v>
      </c>
      <c r="B7" s="4">
        <v>50</v>
      </c>
      <c r="C7">
        <v>10</v>
      </c>
      <c r="D7">
        <f t="shared" si="0"/>
        <v>5</v>
      </c>
      <c r="P7" t="s">
        <v>22</v>
      </c>
      <c r="Q7" s="5">
        <f>(0.6*S3+0.4*S2)*100</f>
        <v>86.758314855875838</v>
      </c>
    </row>
    <row r="8" spans="1:19" x14ac:dyDescent="0.2">
      <c r="A8" s="4" t="s">
        <v>33</v>
      </c>
      <c r="B8" s="4">
        <v>80</v>
      </c>
      <c r="C8">
        <v>10</v>
      </c>
      <c r="D8">
        <f t="shared" si="0"/>
        <v>8</v>
      </c>
      <c r="P8" t="s">
        <v>13</v>
      </c>
      <c r="Q8" t="str">
        <f>VLOOKUP(Q7,Table1[[#All],[Begin]:[Weighted QP]],3,TRUE)</f>
        <v>B</v>
      </c>
    </row>
    <row r="9" spans="1:19" x14ac:dyDescent="0.2">
      <c r="A9" t="s">
        <v>34</v>
      </c>
      <c r="B9" s="4">
        <v>100</v>
      </c>
      <c r="C9">
        <v>10</v>
      </c>
      <c r="D9">
        <f t="shared" si="0"/>
        <v>10</v>
      </c>
      <c r="P9" t="s">
        <v>14</v>
      </c>
      <c r="Q9">
        <f>VLOOKUP(Q8,Table1[[#All],[Letter]:[Weighted QP]],2,0)</f>
        <v>3</v>
      </c>
    </row>
    <row r="10" spans="1:19" x14ac:dyDescent="0.2">
      <c r="A10" t="s">
        <v>35</v>
      </c>
      <c r="B10" s="4">
        <v>100</v>
      </c>
      <c r="C10">
        <v>10</v>
      </c>
      <c r="D10">
        <f t="shared" si="0"/>
        <v>10</v>
      </c>
    </row>
    <row r="11" spans="1:19" x14ac:dyDescent="0.2">
      <c r="A11" t="s">
        <v>36</v>
      </c>
      <c r="B11" s="4">
        <v>90</v>
      </c>
      <c r="C11">
        <v>10</v>
      </c>
      <c r="D11">
        <f t="shared" si="0"/>
        <v>9</v>
      </c>
    </row>
  </sheetData>
  <conditionalFormatting sqref="C4:C5 C7:C21">
    <cfRule type="top10" dxfId="3" priority="1" bottom="1" rank="5"/>
  </conditionalFormatting>
  <hyperlinks>
    <hyperlink ref="A2" r:id="rId1" display="https://learn.vccs.edu/courses/822781/assignments/19348520/submissions/1449633" xr:uid="{B210EEAF-B84D-5942-BA09-11EB17E00286}"/>
    <hyperlink ref="A3" r:id="rId2" display="https://learn.vccs.edu/courses/822781/assignments/19348518/submissions/1449633" xr:uid="{311AF7EE-BA5F-3F47-8EFB-1CAAFDBE7C5C}"/>
    <hyperlink ref="A4" r:id="rId3" display="https://learn.vccs.edu/courses/822781/assignments/19348521/submissions/1449633" xr:uid="{447DACAF-7FE7-4A42-AC35-AAAB1AC9C5CB}"/>
    <hyperlink ref="A6" r:id="rId4" display="https://learn.vccs.edu/courses/822781/assignments/19348522/submissions/1449633" xr:uid="{6DCC7242-0A8F-E449-AF55-A7C50DC1E19B}"/>
    <hyperlink ref="A7" r:id="rId5" display="https://learn.vccs.edu/courses/822781/assignments/19348523/submissions/1449633" xr:uid="{60DAA72A-8A03-8E4C-8D8C-594BEC40656A}"/>
    <hyperlink ref="A8" r:id="rId6" display="https://learn.vccs.edu/courses/822781/assignments/19348524/submissions/1449633" xr:uid="{D712A5A3-928C-6E48-9B93-D5A2C108159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4685-0A53-D947-B7DD-AE08782FA854}">
  <dimension ref="A1:S11"/>
  <sheetViews>
    <sheetView workbookViewId="0">
      <selection activeCell="S5" sqref="S5 Q7"/>
    </sheetView>
  </sheetViews>
  <sheetFormatPr baseColWidth="10" defaultRowHeight="16" x14ac:dyDescent="0.2"/>
  <sheetData>
    <row r="1" spans="1:19" x14ac:dyDescent="0.2">
      <c r="A1" s="2" t="s">
        <v>16</v>
      </c>
      <c r="B1" s="2" t="s">
        <v>37</v>
      </c>
      <c r="C1" s="2" t="s">
        <v>38</v>
      </c>
      <c r="D1" s="2" t="s">
        <v>19</v>
      </c>
      <c r="M1" s="1" t="s">
        <v>15</v>
      </c>
      <c r="R1" t="s">
        <v>23</v>
      </c>
    </row>
    <row r="2" spans="1:19" x14ac:dyDescent="0.2">
      <c r="A2" s="4" t="s">
        <v>27</v>
      </c>
      <c r="B2" s="4">
        <v>100</v>
      </c>
      <c r="C2">
        <v>10</v>
      </c>
      <c r="D2">
        <f>B2/100 * C2</f>
        <v>10</v>
      </c>
      <c r="M2" s="2" t="s">
        <v>16</v>
      </c>
      <c r="N2" s="2" t="s">
        <v>17</v>
      </c>
      <c r="O2" s="2" t="s">
        <v>18</v>
      </c>
      <c r="P2" s="2" t="s">
        <v>19</v>
      </c>
      <c r="R2" s="2" t="s">
        <v>24</v>
      </c>
      <c r="S2" s="3">
        <f>SUM(D:D)/SUM(C:C)</f>
        <v>0.87804878048780488</v>
      </c>
    </row>
    <row r="3" spans="1:19" x14ac:dyDescent="0.2">
      <c r="A3" s="4" t="s">
        <v>28</v>
      </c>
      <c r="B3" s="4">
        <v>100</v>
      </c>
      <c r="C3">
        <v>5</v>
      </c>
      <c r="D3">
        <f t="shared" ref="D3:D11" si="0">B3/100 * C3</f>
        <v>5</v>
      </c>
      <c r="M3" t="s">
        <v>20</v>
      </c>
      <c r="N3">
        <v>70</v>
      </c>
      <c r="O3">
        <v>46</v>
      </c>
      <c r="P3">
        <f>N3/100 * O3</f>
        <v>32.199999999999996</v>
      </c>
      <c r="R3" s="2" t="s">
        <v>25</v>
      </c>
      <c r="S3" s="3">
        <f>SUM(P3:P6)/SUM(O3:O6)</f>
        <v>0.73030303030303023</v>
      </c>
    </row>
    <row r="4" spans="1:19" x14ac:dyDescent="0.2">
      <c r="A4" s="4" t="s">
        <v>29</v>
      </c>
      <c r="B4" s="4">
        <v>100</v>
      </c>
      <c r="C4">
        <v>10</v>
      </c>
      <c r="D4">
        <f t="shared" si="0"/>
        <v>10</v>
      </c>
      <c r="M4" t="s">
        <v>21</v>
      </c>
      <c r="N4">
        <v>80</v>
      </c>
      <c r="O4">
        <v>20</v>
      </c>
      <c r="P4">
        <f>N4/100*O4</f>
        <v>16</v>
      </c>
    </row>
    <row r="5" spans="1:19" x14ac:dyDescent="0.2">
      <c r="A5" t="s">
        <v>30</v>
      </c>
      <c r="B5" s="4">
        <v>100</v>
      </c>
      <c r="C5">
        <v>5</v>
      </c>
      <c r="D5">
        <f t="shared" si="0"/>
        <v>5</v>
      </c>
      <c r="R5" t="s">
        <v>26</v>
      </c>
      <c r="S5" s="6">
        <f>0.6*S3+0.4*S2</f>
        <v>0.78940133037694005</v>
      </c>
    </row>
    <row r="6" spans="1:19" x14ac:dyDescent="0.2">
      <c r="A6" s="4" t="s">
        <v>31</v>
      </c>
      <c r="B6" s="4">
        <v>0</v>
      </c>
      <c r="C6" s="4">
        <v>2</v>
      </c>
      <c r="D6">
        <f t="shared" si="0"/>
        <v>0</v>
      </c>
    </row>
    <row r="7" spans="1:19" x14ac:dyDescent="0.2">
      <c r="A7" s="4" t="s">
        <v>32</v>
      </c>
      <c r="B7" s="4">
        <v>50</v>
      </c>
      <c r="C7">
        <v>10</v>
      </c>
      <c r="D7">
        <f t="shared" si="0"/>
        <v>5</v>
      </c>
      <c r="P7" t="s">
        <v>22</v>
      </c>
      <c r="Q7" s="5">
        <f>(0.6*S3+0.4*S2)*100</f>
        <v>78.940133037694011</v>
      </c>
    </row>
    <row r="8" spans="1:19" x14ac:dyDescent="0.2">
      <c r="A8" s="4" t="s">
        <v>33</v>
      </c>
      <c r="B8" s="4">
        <v>80</v>
      </c>
      <c r="C8">
        <v>10</v>
      </c>
      <c r="D8">
        <f t="shared" si="0"/>
        <v>8</v>
      </c>
      <c r="P8" t="s">
        <v>13</v>
      </c>
      <c r="Q8" t="str">
        <f>VLOOKUP(Q7,Table1[[#All],[Begin]:[Weighted QP]],3,TRUE)</f>
        <v>C+</v>
      </c>
    </row>
    <row r="9" spans="1:19" x14ac:dyDescent="0.2">
      <c r="A9" t="s">
        <v>34</v>
      </c>
      <c r="B9" s="4">
        <v>100</v>
      </c>
      <c r="C9">
        <v>10</v>
      </c>
      <c r="D9">
        <f t="shared" si="0"/>
        <v>10</v>
      </c>
      <c r="P9" t="s">
        <v>14</v>
      </c>
      <c r="Q9">
        <f>VLOOKUP(Q8,Table1[[#All],[Letter]:[Weighted QP]],2,0)</f>
        <v>2.5</v>
      </c>
    </row>
    <row r="10" spans="1:19" x14ac:dyDescent="0.2">
      <c r="A10" t="s">
        <v>35</v>
      </c>
      <c r="B10" s="4">
        <v>100</v>
      </c>
      <c r="C10">
        <v>10</v>
      </c>
      <c r="D10">
        <f t="shared" si="0"/>
        <v>10</v>
      </c>
    </row>
    <row r="11" spans="1:19" x14ac:dyDescent="0.2">
      <c r="A11" t="s">
        <v>36</v>
      </c>
      <c r="B11" s="4">
        <v>90</v>
      </c>
      <c r="C11">
        <v>10</v>
      </c>
      <c r="D11">
        <f t="shared" si="0"/>
        <v>9</v>
      </c>
    </row>
  </sheetData>
  <scenarios current="0" show="0" sqref="S5 Q7">
    <scenario name="Grade" locked="1" count="2" user="Anthony" comment="Created by Anthony on 10/1/2026_x000a_Modified by Anthony on 10/1/2026">
      <inputCells r="N3" val="70"/>
      <inputCells r="N4" val="80"/>
    </scenario>
    <scenario name="Grade Change 2" locked="1" count="2" user="Anthony" comment="Created by Anthony on 10/1/2026">
      <inputCells r="N3" val="0"/>
      <inputCells r="N4" val="80"/>
    </scenario>
  </scenarios>
  <conditionalFormatting sqref="C4:C5 C7:C11">
    <cfRule type="top10" dxfId="0" priority="1" bottom="1" rank="5"/>
  </conditionalFormatting>
  <hyperlinks>
    <hyperlink ref="A2" r:id="rId1" display="https://learn.vccs.edu/courses/822781/assignments/19348520/submissions/1449633" xr:uid="{30F1D71A-DC6D-E743-AD22-950488BD88C7}"/>
    <hyperlink ref="A3" r:id="rId2" display="https://learn.vccs.edu/courses/822781/assignments/19348518/submissions/1449633" xr:uid="{26A82524-76F1-F54F-858E-F6D06CEC72EB}"/>
    <hyperlink ref="A4" r:id="rId3" display="https://learn.vccs.edu/courses/822781/assignments/19348521/submissions/1449633" xr:uid="{A606C5AC-D47E-3C40-9D19-9A94DC0F3270}"/>
    <hyperlink ref="A6" r:id="rId4" display="https://learn.vccs.edu/courses/822781/assignments/19348522/submissions/1449633" xr:uid="{C9C5DA55-78CA-0E47-BBAC-1254BA921694}"/>
    <hyperlink ref="A7" r:id="rId5" display="https://learn.vccs.edu/courses/822781/assignments/19348523/submissions/1449633" xr:uid="{5F76394F-BBBC-C24A-865C-1EAFC83B1EEC}"/>
    <hyperlink ref="A8" r:id="rId6" display="https://learn.vccs.edu/courses/822781/assignments/19348524/submissions/1449633" xr:uid="{40A288D1-A088-9743-93D6-43FFB57859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E8BD-C48D-BB4D-8224-05E3A8B3C495}">
  <sheetPr>
    <outlinePr summaryBelow="0"/>
  </sheetPr>
  <dimension ref="B1:F13"/>
  <sheetViews>
    <sheetView showGridLines="0" workbookViewId="0"/>
  </sheetViews>
  <sheetFormatPr baseColWidth="10" defaultRowHeight="16" outlineLevelRow="1" outlineLevelCol="1" x14ac:dyDescent="0.2"/>
  <cols>
    <col min="3" max="3" width="5.5" bestFit="1" customWidth="1"/>
    <col min="4" max="6" width="12.83203125" bestFit="1" customWidth="1" outlineLevel="1"/>
  </cols>
  <sheetData>
    <row r="1" spans="2:6" ht="17" thickBot="1" x14ac:dyDescent="0.25"/>
    <row r="2" spans="2:6" ht="19" x14ac:dyDescent="0.25">
      <c r="B2" s="11" t="s">
        <v>47</v>
      </c>
      <c r="C2" s="11"/>
      <c r="D2" s="16"/>
      <c r="E2" s="16"/>
      <c r="F2" s="16"/>
    </row>
    <row r="3" spans="2:6" ht="19" collapsed="1" x14ac:dyDescent="0.25">
      <c r="B3" s="10"/>
      <c r="C3" s="10"/>
      <c r="D3" s="17" t="s">
        <v>49</v>
      </c>
      <c r="E3" s="17" t="s">
        <v>43</v>
      </c>
      <c r="F3" s="17" t="s">
        <v>45</v>
      </c>
    </row>
    <row r="4" spans="2:6" ht="48" hidden="1" outlineLevel="1" x14ac:dyDescent="0.2">
      <c r="B4" s="13"/>
      <c r="C4" s="13"/>
      <c r="D4" s="7"/>
      <c r="E4" s="19" t="s">
        <v>44</v>
      </c>
      <c r="F4" s="19" t="s">
        <v>46</v>
      </c>
    </row>
    <row r="5" spans="2:6" x14ac:dyDescent="0.2">
      <c r="B5" s="14" t="s">
        <v>48</v>
      </c>
      <c r="C5" s="14"/>
      <c r="D5" s="12"/>
      <c r="E5" s="12"/>
      <c r="F5" s="12"/>
    </row>
    <row r="6" spans="2:6" outlineLevel="1" x14ac:dyDescent="0.2">
      <c r="B6" s="13"/>
      <c r="C6" s="13" t="s">
        <v>39</v>
      </c>
      <c r="D6" s="7">
        <v>70</v>
      </c>
      <c r="E6" s="18">
        <v>70</v>
      </c>
      <c r="F6" s="18">
        <v>0</v>
      </c>
    </row>
    <row r="7" spans="2:6" outlineLevel="1" x14ac:dyDescent="0.2">
      <c r="B7" s="13"/>
      <c r="C7" s="13" t="s">
        <v>40</v>
      </c>
      <c r="D7" s="7">
        <v>80</v>
      </c>
      <c r="E7" s="18">
        <v>80</v>
      </c>
      <c r="F7" s="18">
        <v>80</v>
      </c>
    </row>
    <row r="8" spans="2:6" x14ac:dyDescent="0.2">
      <c r="B8" s="14" t="s">
        <v>50</v>
      </c>
      <c r="C8" s="14"/>
      <c r="D8" s="12"/>
      <c r="E8" s="12"/>
      <c r="F8" s="12"/>
    </row>
    <row r="9" spans="2:6" outlineLevel="1" x14ac:dyDescent="0.2">
      <c r="B9" s="13"/>
      <c r="C9" s="13" t="s">
        <v>41</v>
      </c>
      <c r="D9" s="8">
        <v>0.78940133037694005</v>
      </c>
      <c r="E9" s="8">
        <v>0.78940133037694005</v>
      </c>
      <c r="F9" s="8">
        <v>0.49667405764966699</v>
      </c>
    </row>
    <row r="10" spans="2:6" ht="17" outlineLevel="1" thickBot="1" x14ac:dyDescent="0.25">
      <c r="B10" s="15"/>
      <c r="C10" s="15" t="s">
        <v>42</v>
      </c>
      <c r="D10" s="9">
        <v>78.940133037693997</v>
      </c>
      <c r="E10" s="9">
        <v>78.940133037693997</v>
      </c>
      <c r="F10" s="9">
        <v>49.667405764966702</v>
      </c>
    </row>
    <row r="11" spans="2:6" x14ac:dyDescent="0.2">
      <c r="B11" t="s">
        <v>51</v>
      </c>
    </row>
    <row r="12" spans="2:6" x14ac:dyDescent="0.2">
      <c r="B12" t="s">
        <v>52</v>
      </c>
    </row>
    <row r="13" spans="2:6" x14ac:dyDescent="0.2">
      <c r="B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Documentation</vt:lpstr>
      <vt:lpstr>Q1</vt:lpstr>
      <vt:lpstr>Q2</vt:lpstr>
      <vt:lpstr>Q3</vt:lpstr>
      <vt:lpstr>Q4</vt:lpstr>
      <vt:lpstr>Scenario look up</vt:lpstr>
      <vt:lpstr>Scenario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Fonseca, Anthony</dc:creator>
  <cp:lastModifiedBy>Fonseca, Anthony</cp:lastModifiedBy>
  <dcterms:created xsi:type="dcterms:W3CDTF">2026-09-29T14:24:55Z</dcterms:created>
  <dcterms:modified xsi:type="dcterms:W3CDTF">2026-10-01T17:34:47Z</dcterms:modified>
</cp:coreProperties>
</file>