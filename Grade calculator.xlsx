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/Downloads/"/>
    </mc:Choice>
  </mc:AlternateContent>
  <xr:revisionPtr revIDLastSave="0" documentId="8_{C868D624-F2F2-874E-AE8C-CB2C773674D5}" xr6:coauthVersionLast="47" xr6:coauthVersionMax="47" xr10:uidLastSave="{00000000-0000-0000-0000-000000000000}"/>
  <bookViews>
    <workbookView xWindow="380" yWindow="600" windowWidth="28040" windowHeight="16220" activeTab="1" xr2:uid="{ED4B9300-A35C-2342-9299-6E43CDBF1FB9}"/>
  </bookViews>
  <sheets>
    <sheet name="Table" sheetId="1" r:id="rId1"/>
    <sheet name="Grad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2" l="1"/>
  <c r="F3" i="2"/>
  <c r="C6" i="2" s="1"/>
  <c r="C7" i="2" l="1"/>
  <c r="C8" i="2"/>
</calcChain>
</file>

<file path=xl/sharedStrings.xml><?xml version="1.0" encoding="utf-8"?>
<sst xmlns="http://schemas.openxmlformats.org/spreadsheetml/2006/main" count="32" uniqueCount="24">
  <si>
    <t>Begin</t>
  </si>
  <si>
    <t>End</t>
  </si>
  <si>
    <t>Letter</t>
  </si>
  <si>
    <t>Regular QP</t>
  </si>
  <si>
    <t>Weighted QP</t>
  </si>
  <si>
    <t>E</t>
  </si>
  <si>
    <t>D</t>
  </si>
  <si>
    <t>D+</t>
  </si>
  <si>
    <t>C</t>
  </si>
  <si>
    <t>C+</t>
  </si>
  <si>
    <t>B</t>
  </si>
  <si>
    <t>B+</t>
  </si>
  <si>
    <t>A</t>
  </si>
  <si>
    <t>Weight</t>
  </si>
  <si>
    <t>Category</t>
  </si>
  <si>
    <t>Possible Points</t>
  </si>
  <si>
    <t>summative</t>
  </si>
  <si>
    <t>formative</t>
  </si>
  <si>
    <t>Category avg</t>
  </si>
  <si>
    <t>overall grade</t>
  </si>
  <si>
    <t>Letter Grade</t>
  </si>
  <si>
    <t>Points(Grade)</t>
  </si>
  <si>
    <t>Quality Points</t>
  </si>
  <si>
    <t>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</si>
</sst>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9C7E0-13BF-D544-8251-E7257317CA45}" name="Table2" displayName="Table2" ref="G1:J6" totalsRowShown="0" headerRowDxfId="0">
  <autoFilter ref="G1:J6" xr:uid="{7239C7E0-13BF-D544-8251-E7257317CA45}"/>
  <tableColumns count="4">
    <tableColumn id="1" xr3:uid="{2E452B2D-7843-B24E-8244-E001A787E02A}" name="Begin"/>
    <tableColumn id="2" xr3:uid="{060C4F3C-41A8-6C47-BC64-BDA960059D26}" name="End"/>
    <tableColumn id="3" xr3:uid="{82F10FDE-0E69-6C42-A785-B6F34C315F0A}" name="Letter"/>
    <tableColumn id="4" xr3:uid="{B1F46A70-7121-C746-B1DE-A1529FB957D1}" name="Quality Poi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4819C-4E8F-5548-B2AC-CF93D36C51F6}" name="Table1" displayName="Table1" ref="A1:E9" totalsRowShown="0" headerRowDxfId="1">
  <autoFilter ref="A1:E9" xr:uid="{5974819C-4E8F-5548-B2AC-CF93D36C51F6}"/>
  <tableColumns count="5">
    <tableColumn id="1" xr3:uid="{6E84D907-A1CC-204F-BFF4-CE1E3CDD413B}" name="Begin"/>
    <tableColumn id="2" xr3:uid="{D1DAA70F-FB1F-6E43-B7A1-968012814D3B}" name="End"/>
    <tableColumn id="3" xr3:uid="{D2B1B83D-A956-D24C-84CF-57AE681896CA}" name="Letter"/>
    <tableColumn id="4" xr3:uid="{FEBFEA84-1957-8542-8FF0-9670CF21DD7C}" name="Regular QP"/>
    <tableColumn id="5" xr3:uid="{30F5BEA2-AC45-7F46-B6A3-D3D20313797B}" name="Weighted QP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5D36-A9AD-2647-B660-C42E0D5FB95A}">
  <dimension ref="A1:J9"/>
  <sheetViews>
    <sheetView topLeftCell="B1" workbookViewId="0">
      <selection activeCell="D12" sqref="D12"/>
    </sheetView>
  </sheetViews>
  <sheetFormatPr baseColWidth="10" defaultRowHeight="16" x14ac:dyDescent="0.2"/>
  <cols>
    <col min="4" max="4" width="12.6640625" customWidth="1"/>
    <col min="5" max="5" width="14.1640625" customWidth="1"/>
    <col min="10" max="10" width="14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22</v>
      </c>
    </row>
    <row r="2" spans="1:10" x14ac:dyDescent="0.2">
      <c r="A2">
        <v>0</v>
      </c>
      <c r="B2">
        <v>59</v>
      </c>
      <c r="C2" t="s">
        <v>5</v>
      </c>
      <c r="D2">
        <v>0</v>
      </c>
      <c r="E2">
        <v>0</v>
      </c>
      <c r="G2">
        <v>0</v>
      </c>
      <c r="H2">
        <v>59</v>
      </c>
      <c r="I2" t="s">
        <v>5</v>
      </c>
      <c r="J2">
        <v>0</v>
      </c>
    </row>
    <row r="3" spans="1:10" x14ac:dyDescent="0.2">
      <c r="A3">
        <v>60</v>
      </c>
      <c r="B3">
        <v>66</v>
      </c>
      <c r="C3" t="s">
        <v>6</v>
      </c>
      <c r="D3">
        <v>1</v>
      </c>
      <c r="E3">
        <v>2</v>
      </c>
      <c r="F3" s="1"/>
      <c r="G3">
        <v>60</v>
      </c>
      <c r="H3">
        <v>69</v>
      </c>
      <c r="I3" t="s">
        <v>6</v>
      </c>
      <c r="J3">
        <v>1</v>
      </c>
    </row>
    <row r="4" spans="1:10" x14ac:dyDescent="0.2">
      <c r="A4">
        <v>67</v>
      </c>
      <c r="B4">
        <v>69</v>
      </c>
      <c r="C4" t="s">
        <v>7</v>
      </c>
      <c r="D4">
        <v>1.5</v>
      </c>
      <c r="E4">
        <v>2.5</v>
      </c>
      <c r="G4">
        <v>70</v>
      </c>
      <c r="H4">
        <v>79</v>
      </c>
      <c r="I4" t="s">
        <v>8</v>
      </c>
      <c r="J4">
        <v>2</v>
      </c>
    </row>
    <row r="5" spans="1:10" x14ac:dyDescent="0.2">
      <c r="A5">
        <v>70</v>
      </c>
      <c r="B5">
        <v>76</v>
      </c>
      <c r="C5" t="s">
        <v>8</v>
      </c>
      <c r="D5">
        <v>2</v>
      </c>
      <c r="E5">
        <v>3</v>
      </c>
      <c r="G5">
        <v>80</v>
      </c>
      <c r="H5">
        <v>89</v>
      </c>
      <c r="I5" t="s">
        <v>10</v>
      </c>
      <c r="J5">
        <v>3</v>
      </c>
    </row>
    <row r="6" spans="1:10" x14ac:dyDescent="0.2">
      <c r="A6">
        <v>77</v>
      </c>
      <c r="B6">
        <v>79</v>
      </c>
      <c r="C6" t="s">
        <v>9</v>
      </c>
      <c r="D6">
        <v>2.5</v>
      </c>
      <c r="E6">
        <v>3.5</v>
      </c>
      <c r="G6">
        <v>90</v>
      </c>
      <c r="H6">
        <v>100</v>
      </c>
      <c r="I6" t="s">
        <v>12</v>
      </c>
      <c r="J6">
        <v>4</v>
      </c>
    </row>
    <row r="7" spans="1:10" x14ac:dyDescent="0.2">
      <c r="A7">
        <v>80</v>
      </c>
      <c r="B7">
        <v>86</v>
      </c>
      <c r="C7" t="s">
        <v>10</v>
      </c>
      <c r="D7">
        <v>3</v>
      </c>
      <c r="E7">
        <v>4</v>
      </c>
    </row>
    <row r="8" spans="1:10" x14ac:dyDescent="0.2">
      <c r="A8">
        <v>87</v>
      </c>
      <c r="B8">
        <v>89</v>
      </c>
      <c r="C8" t="s">
        <v>11</v>
      </c>
      <c r="D8">
        <v>3.5</v>
      </c>
      <c r="E8">
        <v>4.5</v>
      </c>
    </row>
    <row r="9" spans="1:10" x14ac:dyDescent="0.2">
      <c r="A9">
        <v>90</v>
      </c>
      <c r="B9">
        <v>100</v>
      </c>
      <c r="C9" t="s">
        <v>12</v>
      </c>
      <c r="D9">
        <v>4</v>
      </c>
      <c r="E9">
        <v>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CD19-1800-F547-ACD6-E7A5C6D9A5AA}">
  <dimension ref="B1:F8"/>
  <sheetViews>
    <sheetView tabSelected="1" workbookViewId="0">
      <selection activeCell="E8" sqref="E8"/>
    </sheetView>
  </sheetViews>
  <sheetFormatPr baseColWidth="10" defaultRowHeight="16" x14ac:dyDescent="0.2"/>
  <sheetData>
    <row r="1" spans="2:6" x14ac:dyDescent="0.2">
      <c r="B1" t="s">
        <v>14</v>
      </c>
      <c r="C1" t="s">
        <v>13</v>
      </c>
      <c r="D1" t="s">
        <v>21</v>
      </c>
      <c r="E1" t="s">
        <v>15</v>
      </c>
      <c r="F1" t="s">
        <v>18</v>
      </c>
    </row>
    <row r="3" spans="2:6" x14ac:dyDescent="0.2">
      <c r="B3" t="s">
        <v>16</v>
      </c>
      <c r="C3">
        <v>0.6</v>
      </c>
      <c r="D3">
        <v>80</v>
      </c>
      <c r="E3">
        <v>100</v>
      </c>
      <c r="F3">
        <f>D3/E3*100</f>
        <v>80</v>
      </c>
    </row>
    <row r="4" spans="2:6" x14ac:dyDescent="0.2">
      <c r="B4" t="s">
        <v>17</v>
      </c>
      <c r="C4">
        <v>0.4</v>
      </c>
      <c r="D4">
        <v>87.5</v>
      </c>
      <c r="E4">
        <v>100</v>
      </c>
      <c r="F4">
        <f>D4/E4*100</f>
        <v>87.5</v>
      </c>
    </row>
    <row r="6" spans="2:6" x14ac:dyDescent="0.2">
      <c r="B6" t="s">
        <v>19</v>
      </c>
      <c r="C6">
        <f>F3*C3+F4*C4</f>
        <v>83</v>
      </c>
    </row>
    <row r="7" spans="2:6" x14ac:dyDescent="0.2">
      <c r="B7" t="s">
        <v>20</v>
      </c>
      <c r="C7" t="str">
        <f>VLOOKUP(C6,Table1[[#All],[Begin]:[Weighted QP]],3,TRUE)</f>
        <v>B</v>
      </c>
    </row>
    <row r="8" spans="2:6" x14ac:dyDescent="0.2">
      <c r="B8" t="s">
        <v>23</v>
      </c>
      <c r="C8">
        <f>VLOOKUP(C6,Table1[[#All],[Begin]:[Weighted QP]],4,TRUE)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Fonseca, Anthony</dc:creator>
  <cp:lastModifiedBy>Fonseca, Anthony</cp:lastModifiedBy>
  <dcterms:created xsi:type="dcterms:W3CDTF">2026-09-29T14:24:55Z</dcterms:created>
  <dcterms:modified xsi:type="dcterms:W3CDTF">2026-10-01T03:26:25Z</dcterms:modified>
</cp:coreProperties>
</file>