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DA0DE524-279B-F74A-A2B4-4C03AD20851F}" xr6:coauthVersionLast="47" xr6:coauthVersionMax="47" xr10:uidLastSave="{00000000-0000-0000-0000-000000000000}"/>
  <bookViews>
    <workbookView xWindow="-20" yWindow="940" windowWidth="28800" windowHeight="16220" xr2:uid="{ED4B9300-A35C-2342-9299-6E43CDBF1FB9}"/>
  </bookViews>
  <sheets>
    <sheet name="Table" sheetId="1" r:id="rId1"/>
    <sheet name="Sheet3" sheetId="5" r:id="rId2"/>
    <sheet name="Q1" sheetId="2" r:id="rId3"/>
    <sheet name="Q2" sheetId="8" r:id="rId4"/>
    <sheet name="Q3" sheetId="7" r:id="rId5"/>
    <sheet name="Q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8" l="1"/>
  <c r="D10" i="8"/>
  <c r="D9" i="8"/>
  <c r="D8" i="8"/>
  <c r="D7" i="8"/>
  <c r="D6" i="8"/>
  <c r="D5" i="8"/>
  <c r="P4" i="8"/>
  <c r="D4" i="8"/>
  <c r="S3" i="8"/>
  <c r="P3" i="8"/>
  <c r="D3" i="8"/>
  <c r="S2" i="8"/>
  <c r="D2" i="8"/>
  <c r="D11" i="7"/>
  <c r="D10" i="7"/>
  <c r="D9" i="7"/>
  <c r="D8" i="7"/>
  <c r="D7" i="7"/>
  <c r="D6" i="7"/>
  <c r="D5" i="7"/>
  <c r="P4" i="7"/>
  <c r="D4" i="7"/>
  <c r="S3" i="7"/>
  <c r="P3" i="7"/>
  <c r="D3" i="7"/>
  <c r="S2" i="7"/>
  <c r="D2" i="7"/>
  <c r="D11" i="6"/>
  <c r="D10" i="6"/>
  <c r="D9" i="6"/>
  <c r="D8" i="6"/>
  <c r="D7" i="6"/>
  <c r="D6" i="6"/>
  <c r="D5" i="6"/>
  <c r="P4" i="6"/>
  <c r="D4" i="6"/>
  <c r="S3" i="6"/>
  <c r="P3" i="6"/>
  <c r="D3" i="6"/>
  <c r="S2" i="6"/>
  <c r="D2" i="6"/>
  <c r="S5" i="2"/>
  <c r="S3" i="2"/>
  <c r="S2" i="2"/>
  <c r="D3" i="2"/>
  <c r="D4" i="2"/>
  <c r="D5" i="2"/>
  <c r="D6" i="2"/>
  <c r="D7" i="2"/>
  <c r="D8" i="2"/>
  <c r="D9" i="2"/>
  <c r="D10" i="2"/>
  <c r="D11" i="2"/>
  <c r="D2" i="2"/>
  <c r="P3" i="2"/>
  <c r="P4" i="2"/>
  <c r="Q7" i="8" l="1"/>
  <c r="Q8" i="8" s="1"/>
  <c r="Q9" i="8" s="1"/>
  <c r="S5" i="8"/>
  <c r="Q7" i="7"/>
  <c r="Q8" i="7" s="1"/>
  <c r="Q9" i="7" s="1"/>
  <c r="S5" i="7"/>
  <c r="Q7" i="6"/>
  <c r="Q8" i="6" s="1"/>
  <c r="Q9" i="6" s="1"/>
  <c r="S5" i="6"/>
  <c r="Q7" i="2"/>
  <c r="Q8" i="2" s="1"/>
  <c r="Q9" i="2" s="1"/>
</calcChain>
</file>

<file path=xl/sharedStrings.xml><?xml version="1.0" encoding="utf-8"?>
<sst xmlns="http://schemas.openxmlformats.org/spreadsheetml/2006/main" count="125" uniqueCount="39">
  <si>
    <t>Begin</t>
  </si>
  <si>
    <t>End</t>
  </si>
  <si>
    <t>Letter</t>
  </si>
  <si>
    <t>Regular QP</t>
  </si>
  <si>
    <t>Weighted QP</t>
  </si>
  <si>
    <t>E</t>
  </si>
  <si>
    <t>D</t>
  </si>
  <si>
    <t>D+</t>
  </si>
  <si>
    <t>C</t>
  </si>
  <si>
    <t>C+</t>
  </si>
  <si>
    <t>B</t>
  </si>
  <si>
    <t>B+</t>
  </si>
  <si>
    <t>A</t>
  </si>
  <si>
    <t>Letter Grade</t>
  </si>
  <si>
    <t>QP</t>
  </si>
  <si>
    <t>Summative Grades</t>
  </si>
  <si>
    <t>Assignment Name</t>
  </si>
  <si>
    <t>Grade you got</t>
  </si>
  <si>
    <t>Points</t>
  </si>
  <si>
    <t>Points Earned</t>
  </si>
  <si>
    <t>Unit 1 Test</t>
  </si>
  <si>
    <t>Project 1</t>
  </si>
  <si>
    <t>Overall Grade</t>
  </si>
  <si>
    <t>Calculated Totals</t>
  </si>
  <si>
    <t>Formative</t>
  </si>
  <si>
    <t>Summative</t>
  </si>
  <si>
    <t>Total</t>
  </si>
  <si>
    <t>DP#1.1:</t>
  </si>
  <si>
    <t>DP#1 Dear Data: 1.2a </t>
  </si>
  <si>
    <t>DP#1: Dear Data 1.2</t>
  </si>
  <si>
    <t>Summer Assignment</t>
  </si>
  <si>
    <t>DP#1: Dear Data 1.3</t>
  </si>
  <si>
    <t>DP#1: Dear Data 1.4</t>
  </si>
  <si>
    <t>DP#1: Dear Data 1.5</t>
  </si>
  <si>
    <t xml:space="preserve"> DP#1: Dear Data 1.6</t>
  </si>
  <si>
    <t>DP#1: Dear Data 1.6a</t>
  </si>
  <si>
    <t>4.0 Foundational Spreadsheet Skills</t>
  </si>
  <si>
    <t>Grade I got</t>
  </si>
  <si>
    <t>Points possi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</si>
</sst>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9" fontId="0" fillId="0" borderId="0" xfId="1" applyFont="1"/>
    <xf numFmtId="0" fontId="3" fillId="0" borderId="0" xfId="2"/>
    <xf numFmtId="43" fontId="0" fillId="0" borderId="0" xfId="3" applyFont="1"/>
    <xf numFmtId="164" fontId="0" fillId="0" borderId="0" xfId="3" applyNumberFormat="1" applyFont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244122</xdr:colOff>
      <xdr:row>1</xdr:row>
      <xdr:rowOff>6586</xdr:rowOff>
    </xdr:from>
    <xdr:to>
      <xdr:col>10</xdr:col>
      <xdr:colOff>587022</xdr:colOff>
      <xdr:row>24</xdr:row>
      <xdr:rowOff>194499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5339D-F0F3-6797-DB3F-63E220D82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974" y="213549"/>
          <a:ext cx="7793567" cy="49480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4819C-4E8F-5548-B2AC-CF93D36C51F6}" name="Table1" displayName="Table1" ref="A1:E9" totalsRowShown="0" headerRowDxfId="4">
  <autoFilter ref="A1:E9" xr:uid="{5974819C-4E8F-5548-B2AC-CF93D36C51F6}"/>
  <tableColumns count="5">
    <tableColumn id="1" xr3:uid="{6E84D907-A1CC-204F-BFF4-CE1E3CDD413B}" name="Begin"/>
    <tableColumn id="2" xr3:uid="{D1DAA70F-FB1F-6E43-B7A1-968012814D3B}" name="End"/>
    <tableColumn id="3" xr3:uid="{D2B1B83D-A956-D24C-84CF-57AE681896CA}" name="Letter"/>
    <tableColumn id="4" xr3:uid="{FEBFEA84-1957-8542-8FF0-9670CF21DD7C}" name="Regular QP"/>
    <tableColumn id="5" xr3:uid="{30F5BEA2-AC45-7F46-B6A3-D3D20313797B}" name="Weighted Q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vccs.edu/courses/822781/assignments/19348521/submissions/1449633" TargetMode="External"/><Relationship Id="rId2" Type="http://schemas.openxmlformats.org/officeDocument/2006/relationships/hyperlink" Target="https://learn.vccs.edu/courses/822781/assignments/19348518/submissions/1449633" TargetMode="External"/><Relationship Id="rId1" Type="http://schemas.openxmlformats.org/officeDocument/2006/relationships/hyperlink" Target="https://learn.vccs.edu/courses/822781/assignments/19348520/submissions/1449633" TargetMode="External"/><Relationship Id="rId6" Type="http://schemas.openxmlformats.org/officeDocument/2006/relationships/hyperlink" Target="https://learn.vccs.edu/courses/822781/assignments/19348524/submissions/1449633" TargetMode="External"/><Relationship Id="rId5" Type="http://schemas.openxmlformats.org/officeDocument/2006/relationships/hyperlink" Target="https://learn.vccs.edu/courses/822781/assignments/19348523/submissions/1449633" TargetMode="External"/><Relationship Id="rId4" Type="http://schemas.openxmlformats.org/officeDocument/2006/relationships/hyperlink" Target="https://learn.vccs.edu/courses/822781/assignments/19348522/submissions/1449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5D36-A9AD-2647-B660-C42E0D5FB95A}">
  <dimension ref="A1:J9"/>
  <sheetViews>
    <sheetView tabSelected="1" workbookViewId="0">
      <selection activeCell="I12" sqref="I12"/>
    </sheetView>
  </sheetViews>
  <sheetFormatPr baseColWidth="10" defaultRowHeight="16" x14ac:dyDescent="0.2"/>
  <cols>
    <col min="4" max="4" width="12.6640625" customWidth="1"/>
    <col min="5" max="5" width="14.1640625" customWidth="1"/>
    <col min="10" max="10" width="14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  <c r="J1" s="1"/>
    </row>
    <row r="2" spans="1:10" x14ac:dyDescent="0.2">
      <c r="A2">
        <v>0</v>
      </c>
      <c r="B2">
        <v>59</v>
      </c>
      <c r="C2" t="s">
        <v>5</v>
      </c>
      <c r="D2">
        <v>0</v>
      </c>
      <c r="E2">
        <v>0</v>
      </c>
    </row>
    <row r="3" spans="1:10" x14ac:dyDescent="0.2">
      <c r="A3">
        <v>60</v>
      </c>
      <c r="B3">
        <v>66</v>
      </c>
      <c r="C3" t="s">
        <v>6</v>
      </c>
      <c r="D3">
        <v>1</v>
      </c>
      <c r="E3">
        <v>2</v>
      </c>
      <c r="F3" s="1"/>
    </row>
    <row r="4" spans="1:10" x14ac:dyDescent="0.2">
      <c r="A4">
        <v>67</v>
      </c>
      <c r="B4">
        <v>69</v>
      </c>
      <c r="C4" t="s">
        <v>7</v>
      </c>
      <c r="D4">
        <v>1.5</v>
      </c>
      <c r="E4">
        <v>2.5</v>
      </c>
    </row>
    <row r="5" spans="1:10" x14ac:dyDescent="0.2">
      <c r="A5">
        <v>70</v>
      </c>
      <c r="B5">
        <v>76</v>
      </c>
      <c r="C5" t="s">
        <v>8</v>
      </c>
      <c r="D5">
        <v>2</v>
      </c>
      <c r="E5">
        <v>3</v>
      </c>
    </row>
    <row r="6" spans="1:10" x14ac:dyDescent="0.2">
      <c r="A6">
        <v>77</v>
      </c>
      <c r="B6">
        <v>79</v>
      </c>
      <c r="C6" t="s">
        <v>9</v>
      </c>
      <c r="D6">
        <v>2.5</v>
      </c>
      <c r="E6">
        <v>3.5</v>
      </c>
    </row>
    <row r="7" spans="1:10" x14ac:dyDescent="0.2">
      <c r="A7">
        <v>80</v>
      </c>
      <c r="B7">
        <v>86</v>
      </c>
      <c r="C7" t="s">
        <v>10</v>
      </c>
      <c r="D7">
        <v>3</v>
      </c>
      <c r="E7">
        <v>4</v>
      </c>
    </row>
    <row r="8" spans="1:10" x14ac:dyDescent="0.2">
      <c r="A8">
        <v>87</v>
      </c>
      <c r="B8">
        <v>89</v>
      </c>
      <c r="C8" t="s">
        <v>11</v>
      </c>
      <c r="D8">
        <v>3.5</v>
      </c>
      <c r="E8">
        <v>4.5</v>
      </c>
    </row>
    <row r="9" spans="1:10" x14ac:dyDescent="0.2">
      <c r="A9">
        <v>90</v>
      </c>
      <c r="B9">
        <v>100</v>
      </c>
      <c r="C9" t="s">
        <v>12</v>
      </c>
      <c r="D9">
        <v>4</v>
      </c>
      <c r="E9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3663-DB5A-7B4E-8C23-01B04EE58FCF}">
  <dimension ref="A1"/>
  <sheetViews>
    <sheetView topLeftCell="C8" zoomScale="315" workbookViewId="0">
      <selection activeCell="E17" sqref="E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CD19-1800-F547-ACD6-E7A5C6D9A5AA}">
  <dimension ref="A1:S11"/>
  <sheetViews>
    <sheetView zoomScale="117" workbookViewId="0">
      <selection activeCell="Q8" sqref="Q8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3" priority="1" bottom="1" rank="5"/>
  </conditionalFormatting>
  <hyperlinks>
    <hyperlink ref="A2" r:id="rId1" display="https://learn.vccs.edu/courses/822781/assignments/19348520/submissions/1449633" xr:uid="{C0EC3652-5A65-3343-87B2-D8F9E81B31DB}"/>
    <hyperlink ref="A3" r:id="rId2" display="https://learn.vccs.edu/courses/822781/assignments/19348518/submissions/1449633" xr:uid="{26708064-A571-994F-9010-29BBA36DE648}"/>
    <hyperlink ref="A4" r:id="rId3" display="https://learn.vccs.edu/courses/822781/assignments/19348521/submissions/1449633" xr:uid="{3BC6255A-A42F-9649-9BD3-351F0B0BB36D}"/>
    <hyperlink ref="A6" r:id="rId4" display="https://learn.vccs.edu/courses/822781/assignments/19348522/submissions/1449633" xr:uid="{C0CAB54C-5E91-2348-9B87-7380C6F4D6BA}"/>
    <hyperlink ref="A7" r:id="rId5" display="https://learn.vccs.edu/courses/822781/assignments/19348523/submissions/1449633" xr:uid="{F635CE53-5C41-C24D-8E26-F465C50C1171}"/>
    <hyperlink ref="A8" r:id="rId6" display="https://learn.vccs.edu/courses/822781/assignments/19348524/submissions/1449633" xr:uid="{4FBCF7FD-DCA9-564A-9E5B-ED5979D4C8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E5AB-B096-0E47-B0C3-CB05524C9370}">
  <dimension ref="A1:S11"/>
  <sheetViews>
    <sheetView zoomScale="117" workbookViewId="0">
      <selection activeCell="I13" sqref="I13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0" priority="1" bottom="1" rank="5"/>
  </conditionalFormatting>
  <hyperlinks>
    <hyperlink ref="A2" r:id="rId1" display="https://learn.vccs.edu/courses/822781/assignments/19348520/submissions/1449633" xr:uid="{000ADC25-1BBB-D046-B246-C0BB0363430F}"/>
    <hyperlink ref="A3" r:id="rId2" display="https://learn.vccs.edu/courses/822781/assignments/19348518/submissions/1449633" xr:uid="{3CCC6C88-4BC6-0D4B-A4F1-B1ABA2786121}"/>
    <hyperlink ref="A4" r:id="rId3" display="https://learn.vccs.edu/courses/822781/assignments/19348521/submissions/1449633" xr:uid="{4B1A8339-660B-574A-8943-7E66C8A5019B}"/>
    <hyperlink ref="A6" r:id="rId4" display="https://learn.vccs.edu/courses/822781/assignments/19348522/submissions/1449633" xr:uid="{D25D484D-0E59-A442-8D9A-E2EE39A7C8AB}"/>
    <hyperlink ref="A7" r:id="rId5" display="https://learn.vccs.edu/courses/822781/assignments/19348523/submissions/1449633" xr:uid="{5902A32E-1E24-704B-87BB-E0072961B062}"/>
    <hyperlink ref="A8" r:id="rId6" display="https://learn.vccs.edu/courses/822781/assignments/19348524/submissions/1449633" xr:uid="{CE82F29E-F3D5-834A-99E2-AE2994EB55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1E4B-18BD-D643-9264-29FA60B79970}">
  <dimension ref="A1:S11"/>
  <sheetViews>
    <sheetView zoomScale="117" workbookViewId="0">
      <selection activeCell="I13" sqref="I13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1" priority="1" bottom="1" rank="5"/>
  </conditionalFormatting>
  <hyperlinks>
    <hyperlink ref="A2" r:id="rId1" display="https://learn.vccs.edu/courses/822781/assignments/19348520/submissions/1449633" xr:uid="{4DCF94BA-34D1-E74D-8DB3-4687E1350DAF}"/>
    <hyperlink ref="A3" r:id="rId2" display="https://learn.vccs.edu/courses/822781/assignments/19348518/submissions/1449633" xr:uid="{4FC478E1-0D57-424B-96EF-563A68055AE6}"/>
    <hyperlink ref="A4" r:id="rId3" display="https://learn.vccs.edu/courses/822781/assignments/19348521/submissions/1449633" xr:uid="{5DF78804-257E-F842-8568-1B6E5F879F2A}"/>
    <hyperlink ref="A6" r:id="rId4" display="https://learn.vccs.edu/courses/822781/assignments/19348522/submissions/1449633" xr:uid="{02B32B13-C537-4548-BFDE-B3D4E3252C86}"/>
    <hyperlink ref="A7" r:id="rId5" display="https://learn.vccs.edu/courses/822781/assignments/19348523/submissions/1449633" xr:uid="{025FCE5A-B652-8749-8326-D307D66299D2}"/>
    <hyperlink ref="A8" r:id="rId6" display="https://learn.vccs.edu/courses/822781/assignments/19348524/submissions/1449633" xr:uid="{1F35164F-02FF-5D4F-85B0-AD53C8D5D96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3B86-7E27-2740-ADCA-4EE691BEB656}">
  <dimension ref="A1:S11"/>
  <sheetViews>
    <sheetView zoomScale="117" workbookViewId="0">
      <selection activeCell="H21" sqref="H21"/>
    </sheetView>
  </sheetViews>
  <sheetFormatPr baseColWidth="10" defaultRowHeight="16" x14ac:dyDescent="0.2"/>
  <sheetData>
    <row r="1" spans="1:19" x14ac:dyDescent="0.2">
      <c r="A1" s="2" t="s">
        <v>16</v>
      </c>
      <c r="B1" s="2" t="s">
        <v>37</v>
      </c>
      <c r="C1" s="2" t="s">
        <v>38</v>
      </c>
      <c r="D1" s="2" t="s">
        <v>19</v>
      </c>
      <c r="M1" s="1" t="s">
        <v>15</v>
      </c>
      <c r="R1" t="s">
        <v>23</v>
      </c>
    </row>
    <row r="2" spans="1:19" x14ac:dyDescent="0.2">
      <c r="A2" s="4" t="s">
        <v>27</v>
      </c>
      <c r="B2" s="4">
        <v>100</v>
      </c>
      <c r="C2">
        <v>10</v>
      </c>
      <c r="D2">
        <f>B2/100 * C2</f>
        <v>10</v>
      </c>
      <c r="M2" s="2" t="s">
        <v>16</v>
      </c>
      <c r="N2" s="2" t="s">
        <v>17</v>
      </c>
      <c r="O2" s="2" t="s">
        <v>18</v>
      </c>
      <c r="P2" s="2" t="s">
        <v>19</v>
      </c>
      <c r="R2" s="2" t="s">
        <v>24</v>
      </c>
      <c r="S2" s="3">
        <f>SUM(D:D)/SUM(C:C)</f>
        <v>0.87804878048780488</v>
      </c>
    </row>
    <row r="3" spans="1:19" x14ac:dyDescent="0.2">
      <c r="A3" s="4" t="s">
        <v>28</v>
      </c>
      <c r="B3" s="4">
        <v>100</v>
      </c>
      <c r="C3">
        <v>5</v>
      </c>
      <c r="D3">
        <f t="shared" ref="D3:D11" si="0">B3/100 * C3</f>
        <v>5</v>
      </c>
      <c r="M3" t="s">
        <v>20</v>
      </c>
      <c r="N3">
        <v>80</v>
      </c>
      <c r="O3">
        <v>46</v>
      </c>
      <c r="P3">
        <f>N3/100 * O3</f>
        <v>36.800000000000004</v>
      </c>
      <c r="R3" s="2" t="s">
        <v>25</v>
      </c>
      <c r="S3" s="3">
        <f>SUM(P3:P6)/SUM(O3:O6)</f>
        <v>0.86060606060606071</v>
      </c>
    </row>
    <row r="4" spans="1:19" x14ac:dyDescent="0.2">
      <c r="A4" s="4" t="s">
        <v>29</v>
      </c>
      <c r="B4" s="4">
        <v>100</v>
      </c>
      <c r="C4">
        <v>10</v>
      </c>
      <c r="D4">
        <f t="shared" si="0"/>
        <v>10</v>
      </c>
      <c r="M4" t="s">
        <v>21</v>
      </c>
      <c r="N4">
        <v>100</v>
      </c>
      <c r="O4">
        <v>20</v>
      </c>
      <c r="P4">
        <f>N4/100*O4</f>
        <v>20</v>
      </c>
    </row>
    <row r="5" spans="1:19" x14ac:dyDescent="0.2">
      <c r="A5" t="s">
        <v>30</v>
      </c>
      <c r="B5" s="4">
        <v>100</v>
      </c>
      <c r="C5">
        <v>5</v>
      </c>
      <c r="D5">
        <f t="shared" si="0"/>
        <v>5</v>
      </c>
      <c r="R5" t="s">
        <v>26</v>
      </c>
      <c r="S5" s="6">
        <f>0.6*S3+0.4*S2</f>
        <v>0.8675831485587584</v>
      </c>
    </row>
    <row r="6" spans="1:19" x14ac:dyDescent="0.2">
      <c r="A6" s="4" t="s">
        <v>31</v>
      </c>
      <c r="B6" s="4">
        <v>0</v>
      </c>
      <c r="C6" s="4">
        <v>2</v>
      </c>
      <c r="D6">
        <f t="shared" si="0"/>
        <v>0</v>
      </c>
    </row>
    <row r="7" spans="1:19" x14ac:dyDescent="0.2">
      <c r="A7" s="4" t="s">
        <v>32</v>
      </c>
      <c r="B7" s="4">
        <v>50</v>
      </c>
      <c r="C7">
        <v>10</v>
      </c>
      <c r="D7">
        <f t="shared" si="0"/>
        <v>5</v>
      </c>
      <c r="P7" t="s">
        <v>22</v>
      </c>
      <c r="Q7" s="5">
        <f>(0.6*S3+0.4*S2)*100</f>
        <v>86.758314855875838</v>
      </c>
    </row>
    <row r="8" spans="1:19" x14ac:dyDescent="0.2">
      <c r="A8" s="4" t="s">
        <v>33</v>
      </c>
      <c r="B8" s="4">
        <v>80</v>
      </c>
      <c r="C8">
        <v>10</v>
      </c>
      <c r="D8">
        <f t="shared" si="0"/>
        <v>8</v>
      </c>
      <c r="P8" t="s">
        <v>13</v>
      </c>
      <c r="Q8" t="str">
        <f>VLOOKUP(Q7,Table1[[#All],[Begin]:[Weighted QP]],3,TRUE)</f>
        <v>B</v>
      </c>
    </row>
    <row r="9" spans="1:19" x14ac:dyDescent="0.2">
      <c r="A9" t="s">
        <v>34</v>
      </c>
      <c r="B9" s="4">
        <v>100</v>
      </c>
      <c r="C9">
        <v>10</v>
      </c>
      <c r="D9">
        <f t="shared" si="0"/>
        <v>10</v>
      </c>
      <c r="P9" t="s">
        <v>14</v>
      </c>
      <c r="Q9">
        <f>VLOOKUP(Q8,Table1[[#All],[Letter]:[Weighted QP]],2,0)</f>
        <v>3</v>
      </c>
    </row>
    <row r="10" spans="1:19" x14ac:dyDescent="0.2">
      <c r="A10" t="s">
        <v>35</v>
      </c>
      <c r="B10" s="4">
        <v>100</v>
      </c>
      <c r="C10">
        <v>10</v>
      </c>
      <c r="D10">
        <f t="shared" si="0"/>
        <v>10</v>
      </c>
    </row>
    <row r="11" spans="1:19" x14ac:dyDescent="0.2">
      <c r="A11" t="s">
        <v>36</v>
      </c>
      <c r="B11" s="4">
        <v>90</v>
      </c>
      <c r="C11">
        <v>10</v>
      </c>
      <c r="D11">
        <f t="shared" si="0"/>
        <v>9</v>
      </c>
    </row>
  </sheetData>
  <conditionalFormatting sqref="C4:C5 C7:C21">
    <cfRule type="top10" dxfId="2" priority="1" bottom="1" rank="5"/>
  </conditionalFormatting>
  <hyperlinks>
    <hyperlink ref="A2" r:id="rId1" display="https://learn.vccs.edu/courses/822781/assignments/19348520/submissions/1449633" xr:uid="{B210EEAF-B84D-5942-BA09-11EB17E00286}"/>
    <hyperlink ref="A3" r:id="rId2" display="https://learn.vccs.edu/courses/822781/assignments/19348518/submissions/1449633" xr:uid="{311AF7EE-BA5F-3F47-8EFB-1CAAFDBE7C5C}"/>
    <hyperlink ref="A4" r:id="rId3" display="https://learn.vccs.edu/courses/822781/assignments/19348521/submissions/1449633" xr:uid="{447DACAF-7FE7-4A42-AC35-AAAB1AC9C5CB}"/>
    <hyperlink ref="A6" r:id="rId4" display="https://learn.vccs.edu/courses/822781/assignments/19348522/submissions/1449633" xr:uid="{6DCC7242-0A8F-E449-AF55-A7C50DC1E19B}"/>
    <hyperlink ref="A7" r:id="rId5" display="https://learn.vccs.edu/courses/822781/assignments/19348523/submissions/1449633" xr:uid="{60DAA72A-8A03-8E4C-8D8C-594BEC40656A}"/>
    <hyperlink ref="A8" r:id="rId6" display="https://learn.vccs.edu/courses/822781/assignments/19348524/submissions/1449633" xr:uid="{D712A5A3-928C-6E48-9B93-D5A2C10815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Sheet3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Fonseca, Anthony</dc:creator>
  <cp:lastModifiedBy>Fonseca, Anthony</cp:lastModifiedBy>
  <dcterms:created xsi:type="dcterms:W3CDTF">2026-09-29T14:24:55Z</dcterms:created>
  <dcterms:modified xsi:type="dcterms:W3CDTF">2026-10-01T17:24:11Z</dcterms:modified>
</cp:coreProperties>
</file>